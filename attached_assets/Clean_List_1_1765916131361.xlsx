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jamesgaffney/Downloads/"/>
    </mc:Choice>
  </mc:AlternateContent>
  <xr:revisionPtr revIDLastSave="0" documentId="13_ncr:1_{7F249BCE-D3A1-0B42-88A4-151B748AE52F}" xr6:coauthVersionLast="47" xr6:coauthVersionMax="47" xr10:uidLastSave="{00000000-0000-0000-0000-000000000000}"/>
  <bookViews>
    <workbookView xWindow="0" yWindow="740" windowWidth="29480" windowHeight="16540" xr2:uid="{33975A5D-4294-DC47-91A4-7896A74FA10F}"/>
  </bookViews>
  <sheets>
    <sheet name="Clean_One_List" sheetId="1" r:id="rId1"/>
    <sheet name="Presentation Version" sheetId="4" state="hidden" r:id="rId2"/>
  </sheets>
  <definedNames>
    <definedName name="_xlnm._FilterDatabase" localSheetId="0" hidden="1">Clean_One_List!$A$1:$X$340</definedName>
    <definedName name="_xlnm._FilterDatabase" localSheetId="1" hidden="1">'Presentation Version'!$A$1:$G$155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R2" i="4"/>
  <c r="E32" i="4"/>
  <c r="E133" i="4"/>
  <c r="E106" i="4"/>
  <c r="E101" i="4"/>
  <c r="E102" i="4"/>
  <c r="E126" i="4"/>
  <c r="E134" i="4"/>
  <c r="E135" i="4"/>
  <c r="E105" i="4"/>
  <c r="E124" i="4"/>
  <c r="E136" i="4"/>
  <c r="E123" i="4"/>
  <c r="E130" i="4"/>
  <c r="E127" i="4"/>
  <c r="E132" i="4"/>
  <c r="E131" i="4"/>
  <c r="E14" i="4"/>
  <c r="E27" i="4"/>
  <c r="E26" i="4"/>
  <c r="E23" i="4"/>
  <c r="E22" i="4"/>
  <c r="E122" i="4"/>
  <c r="E119" i="4"/>
  <c r="E108" i="4"/>
  <c r="E104" i="4"/>
  <c r="E109" i="4"/>
  <c r="E110" i="4"/>
  <c r="E111" i="4"/>
  <c r="E59" i="4"/>
  <c r="E60" i="4"/>
  <c r="E86" i="4"/>
  <c r="E77" i="4"/>
  <c r="E15" i="4"/>
  <c r="E21" i="4"/>
  <c r="E25" i="4"/>
  <c r="E19" i="4"/>
  <c r="E16" i="4"/>
  <c r="E29" i="4"/>
  <c r="E18" i="4"/>
  <c r="E20" i="4"/>
  <c r="E30" i="4"/>
  <c r="E2" i="4"/>
  <c r="E3" i="4"/>
  <c r="E11" i="4"/>
  <c r="E13" i="4"/>
  <c r="E8" i="4"/>
  <c r="E10" i="4"/>
  <c r="E120" i="4"/>
  <c r="E12" i="4"/>
  <c r="E9" i="4"/>
  <c r="E35" i="4"/>
  <c r="E37" i="4"/>
  <c r="E138" i="4"/>
  <c r="E139" i="4"/>
  <c r="E72" i="4"/>
  <c r="E74" i="4"/>
  <c r="E56" i="4"/>
  <c r="E57" i="4"/>
  <c r="E61" i="4"/>
  <c r="E58" i="4"/>
  <c r="E69" i="4"/>
  <c r="E76" i="4"/>
  <c r="E82" i="4"/>
  <c r="E84" i="4"/>
  <c r="E80" i="4"/>
  <c r="E70" i="4"/>
  <c r="E75" i="4"/>
  <c r="E64" i="4"/>
  <c r="E73" i="4"/>
  <c r="E66" i="4"/>
  <c r="E54" i="4"/>
  <c r="E67" i="4"/>
  <c r="E79" i="4"/>
  <c r="E81" i="4"/>
  <c r="E78" i="4"/>
  <c r="E71" i="4"/>
  <c r="E53" i="4"/>
  <c r="E55" i="4"/>
  <c r="E65" i="4"/>
  <c r="E62" i="4"/>
  <c r="E68" i="4"/>
  <c r="E85" i="4"/>
  <c r="E63" i="4"/>
  <c r="E83" i="4"/>
  <c r="E112" i="4"/>
  <c r="E103" i="4"/>
  <c r="E107" i="4"/>
  <c r="E144" i="4"/>
  <c r="E141" i="4"/>
  <c r="E113" i="4"/>
  <c r="E143" i="4"/>
  <c r="E142" i="4"/>
  <c r="E145" i="4"/>
  <c r="E118" i="4"/>
  <c r="E96" i="4"/>
  <c r="E154" i="4"/>
  <c r="E148" i="4"/>
  <c r="E147" i="4"/>
  <c r="E146" i="4"/>
  <c r="E152" i="4"/>
  <c r="E153" i="4"/>
  <c r="E149" i="4"/>
  <c r="E150" i="4"/>
  <c r="E151" i="4"/>
  <c r="E97" i="4"/>
  <c r="E155" i="4"/>
  <c r="E5" i="4"/>
  <c r="E42" i="4"/>
  <c r="E33" i="4"/>
  <c r="E140" i="4"/>
  <c r="E99" i="4"/>
  <c r="E121" i="4"/>
  <c r="E115" i="4"/>
  <c r="E7" i="4"/>
  <c r="E6" i="4"/>
  <c r="E41" i="4"/>
  <c r="E34" i="4"/>
  <c r="E40" i="4"/>
  <c r="E38" i="4"/>
  <c r="E36" i="4"/>
  <c r="E4" i="4"/>
  <c r="E39" i="4"/>
  <c r="E137" i="4"/>
  <c r="E44" i="4"/>
  <c r="E43" i="4"/>
  <c r="E46" i="4"/>
  <c r="E47" i="4"/>
  <c r="E52" i="4"/>
  <c r="E50" i="4"/>
  <c r="E49" i="4"/>
  <c r="E51" i="4"/>
  <c r="E45" i="4"/>
  <c r="E48" i="4"/>
  <c r="E116" i="4"/>
  <c r="E117" i="4"/>
  <c r="E114" i="4"/>
  <c r="E98" i="4"/>
  <c r="E129" i="4"/>
  <c r="E128" i="4"/>
  <c r="E125" i="4"/>
  <c r="E92" i="4"/>
  <c r="E91" i="4"/>
  <c r="E90" i="4"/>
  <c r="E89" i="4"/>
  <c r="E87" i="4"/>
  <c r="E94" i="4"/>
  <c r="E95" i="4"/>
  <c r="E93" i="4"/>
  <c r="E88" i="4"/>
  <c r="E24" i="4"/>
  <c r="E28" i="4"/>
  <c r="E17" i="4"/>
  <c r="E31" i="4"/>
  <c r="E10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Caleb Li</author>
  </authors>
  <commentList>
    <comment ref="M3" authorId="0" shapeId="0" xr:uid="{487C3A5A-EF87-4F92-B47B-0AD9C4FC62DA}">
      <text>
        <r>
          <rPr>
            <b/>
            <sz val="9"/>
            <color indexed="81"/>
            <rFont val="Tahoma"/>
            <family val="2"/>
          </rPr>
          <t>Caleb Li:</t>
        </r>
        <r>
          <rPr>
            <sz val="9"/>
            <color indexed="81"/>
            <rFont val="Tahoma"/>
            <family val="2"/>
          </rPr>
          <t xml:space="preserve">
this was L, but it's on hold will add back if it's in the roadmap</t>
        </r>
      </text>
    </comment>
    <comment ref="F270" authorId="0" shapeId="0" xr:uid="{7AF710E7-1144-4852-83B4-3E7B4E75E3D3}">
      <text>
        <r>
          <rPr>
            <b/>
            <sz val="9"/>
            <color indexed="81"/>
            <rFont val="Tahoma"/>
            <family val="2"/>
          </rPr>
          <t>Caleb Li:</t>
        </r>
        <r>
          <rPr>
            <sz val="9"/>
            <color indexed="81"/>
            <rFont val="Tahoma"/>
            <family val="2"/>
          </rPr>
          <t xml:space="preserve">
assumed 90-day lead time</t>
        </r>
      </text>
    </comment>
    <comment ref="F332" authorId="0" shapeId="0" xr:uid="{B79AD0AA-93C6-4332-91B3-947DF33006C2}">
      <text>
        <r>
          <rPr>
            <b/>
            <sz val="9"/>
            <color indexed="81"/>
            <rFont val="Tahoma"/>
            <family val="2"/>
          </rPr>
          <t>Caleb Li:</t>
        </r>
        <r>
          <rPr>
            <sz val="9"/>
            <color indexed="81"/>
            <rFont val="Tahoma"/>
            <family val="2"/>
          </rPr>
          <t xml:space="preserve">
assumed 90-day lead time</t>
        </r>
      </text>
    </comment>
  </commentList>
</comments>
</file>

<file path=xl/sharedStrings.xml><?xml version="1.0" encoding="utf-8"?>
<sst xmlns="http://schemas.openxmlformats.org/spreadsheetml/2006/main" count="6386" uniqueCount="952">
  <si>
    <t>CT Idea ID (Initiative)</t>
  </si>
  <si>
    <t>Funding Lane</t>
  </si>
  <si>
    <t>Value Stream</t>
  </si>
  <si>
    <t>New/Now/ Next/ Later/ Kill / Shipped</t>
  </si>
  <si>
    <t>Priority Ranking within Pod and Next/ Later</t>
  </si>
  <si>
    <t>Follow-up/ Comments</t>
  </si>
  <si>
    <t>Start Month</t>
  </si>
  <si>
    <t>Finish Month</t>
  </si>
  <si>
    <t>Months</t>
  </si>
  <si>
    <t>T-Shirt Size</t>
  </si>
  <si>
    <t>Aha Capability Number</t>
  </si>
  <si>
    <t>Cost Estimate</t>
  </si>
  <si>
    <t>Total Benefits</t>
  </si>
  <si>
    <t>Total ROI</t>
  </si>
  <si>
    <t>Labor Benefits (FTEs)</t>
  </si>
  <si>
    <t>Total Relevant FTEs (Dec 25) Before Benefits</t>
  </si>
  <si>
    <t>Labor Benefits ($)</t>
  </si>
  <si>
    <t>Total Relevant Labor Cost (Dec 25) Before Benefits</t>
  </si>
  <si>
    <t>Total Relevant Labor Cost (Dec 25) PF Benefits</t>
  </si>
  <si>
    <t>% labor improvement</t>
  </si>
  <si>
    <t>% improvement estimate from Motherload (Cost Center Level)</t>
  </si>
  <si>
    <t>% achievement of Motherload</t>
  </si>
  <si>
    <t>INNOV-I-90</t>
  </si>
  <si>
    <t>Strategic</t>
  </si>
  <si>
    <t>Clinical</t>
  </si>
  <si>
    <t>Autonomous Coding</t>
  </si>
  <si>
    <t>Autonomous Coding: 360 Encompass build</t>
  </si>
  <si>
    <t xml:space="preserve">CC_3101 Coding </t>
  </si>
  <si>
    <t>Now</t>
  </si>
  <si>
    <t>In-flight</t>
  </si>
  <si>
    <t>N/A</t>
  </si>
  <si>
    <t>ACE-E-19</t>
  </si>
  <si>
    <t>INNOV-I-90-1</t>
  </si>
  <si>
    <t>CC_3104 Professional Coding</t>
  </si>
  <si>
    <t>ACE-E-18</t>
  </si>
  <si>
    <t>Autonomous Coding: PB Autonomous</t>
  </si>
  <si>
    <t>ACE-E-17</t>
  </si>
  <si>
    <t>ACE-E-14</t>
  </si>
  <si>
    <t>Later</t>
  </si>
  <si>
    <t>ACE-E-15</t>
  </si>
  <si>
    <t>INNOV-I-76</t>
  </si>
  <si>
    <t>Clinical Reasoning</t>
  </si>
  <si>
    <t>Clinical Reasoning: GenAI  Appeal Letter Generation</t>
  </si>
  <si>
    <t>CC_4203 Denials &amp; Appeals</t>
  </si>
  <si>
    <t>Shipped</t>
  </si>
  <si>
    <t>L5 - scale up</t>
  </si>
  <si>
    <t>ANALYTICS-E-137</t>
  </si>
  <si>
    <t>INNOV-I-125-1</t>
  </si>
  <si>
    <t>Clinical Reasoning: Clinical AI Engine Redesign – POC and Implementation</t>
  </si>
  <si>
    <t>S</t>
  </si>
  <si>
    <t>BACKRCM-E-840</t>
  </si>
  <si>
    <t>INNOV-I-125-2</t>
  </si>
  <si>
    <t>Clinical Reasoning: Utilize data lake clinical information</t>
  </si>
  <si>
    <t>BACKRCM-E-736</t>
  </si>
  <si>
    <t>INNOV-I-125-3</t>
  </si>
  <si>
    <t>Clinical Reasoning: Clinical justification Review and regeneration</t>
  </si>
  <si>
    <t>Next</t>
  </si>
  <si>
    <t>M</t>
  </si>
  <si>
    <t>BACKRCM-E-741</t>
  </si>
  <si>
    <t>CT-I-50</t>
  </si>
  <si>
    <t>Clinical Reasoning: Coding denial reasoning</t>
  </si>
  <si>
    <t>L</t>
  </si>
  <si>
    <t>INNOV-I-125</t>
  </si>
  <si>
    <t>Clinical Reasoning: Expanded denials - denied days, experimental, missed notification, no authoritization, and readmission</t>
  </si>
  <si>
    <t>BACKRCM-E-794</t>
  </si>
  <si>
    <t>INNOV-I-125-4</t>
  </si>
  <si>
    <t>INNOV-I-123</t>
  </si>
  <si>
    <t>CC_4201 Contract Management</t>
  </si>
  <si>
    <t>BACKRCM-E-842</t>
  </si>
  <si>
    <t>CT-I-49</t>
  </si>
  <si>
    <t>Shared</t>
  </si>
  <si>
    <t>EIQ Integrity</t>
  </si>
  <si>
    <t>MIDRCM-E-200</t>
  </si>
  <si>
    <t>MIDRCM-E-201</t>
  </si>
  <si>
    <t>MIDRCM-E-202</t>
  </si>
  <si>
    <t>MIDRCM-E-203</t>
  </si>
  <si>
    <t>MIDRCM-E-204</t>
  </si>
  <si>
    <t>Clinical Integration</t>
  </si>
  <si>
    <t>MIDRCM-E-205</t>
  </si>
  <si>
    <t>MIDRCM-E-206</t>
  </si>
  <si>
    <t>MIDRCM-E-207</t>
  </si>
  <si>
    <t>CT-I-6</t>
  </si>
  <si>
    <t>HIM</t>
  </si>
  <si>
    <t xml:space="preserve">HIM: Solarity | All Client Implementations </t>
  </si>
  <si>
    <t>CC_3102 HIM Operations</t>
  </si>
  <si>
    <t>INNOV-I-133</t>
  </si>
  <si>
    <t>VUR / UM Agent</t>
  </si>
  <si>
    <t xml:space="preserve">EIQ Advise: Improve clinical notes through denial reason insights </t>
  </si>
  <si>
    <t>CC_2301 VUR - Nursing</t>
  </si>
  <si>
    <t>UMPA-E-25</t>
  </si>
  <si>
    <t>EIQ Advise: Present  clinical notes for Physician Advisory P2P</t>
  </si>
  <si>
    <t>UMPA-E-24</t>
  </si>
  <si>
    <t>EIQ Advise: Clinical summarization</t>
  </si>
  <si>
    <t>UMPA-E-18</t>
  </si>
  <si>
    <t>UMPA-E-19</t>
  </si>
  <si>
    <t>NA</t>
  </si>
  <si>
    <t>CT-I-67</t>
  </si>
  <si>
    <t>Platform</t>
  </si>
  <si>
    <t>Data Platform</t>
  </si>
  <si>
    <t>Data Integration</t>
  </si>
  <si>
    <t>CC_4104 Customer Service</t>
  </si>
  <si>
    <t>RPA-S-14</t>
  </si>
  <si>
    <t>New</t>
  </si>
  <si>
    <t>RPA/Cloverleaf: Credits adjustments automation</t>
  </si>
  <si>
    <t>CC_4110 Credit Balances</t>
  </si>
  <si>
    <t>INNOV-I-138</t>
  </si>
  <si>
    <t>Enterprise Excellence</t>
  </si>
  <si>
    <t>AP Analytics</t>
  </si>
  <si>
    <t>Invoice Analytics</t>
  </si>
  <si>
    <t>ANALYTICS-E-164</t>
  </si>
  <si>
    <t>ANALYTICS-E-165</t>
  </si>
  <si>
    <t>ANALYTICS-E-166</t>
  </si>
  <si>
    <t>ANALYTICS-E-167</t>
  </si>
  <si>
    <t>ANALYTICS-E-217</t>
  </si>
  <si>
    <t>ANALYTICS-E-222</t>
  </si>
  <si>
    <t>ANALYTICS-E-243</t>
  </si>
  <si>
    <t>ANALYTICS-E-245</t>
  </si>
  <si>
    <t>ANALYTICS-E-139</t>
  </si>
  <si>
    <t>ANALYTICS-E-258</t>
  </si>
  <si>
    <t>ANALYTICS-E-256</t>
  </si>
  <si>
    <t>ANALYTICS-E-252</t>
  </si>
  <si>
    <t>XS</t>
  </si>
  <si>
    <t>ANALYTICS-E-260</t>
  </si>
  <si>
    <t>ANALYTICS-E-261</t>
  </si>
  <si>
    <t>ANALYTICS-E-262</t>
  </si>
  <si>
    <t>ANALYTICS-E-257</t>
  </si>
  <si>
    <t>ANALYTICS-E-251</t>
  </si>
  <si>
    <t>ENTERPRISE-I-45</t>
  </si>
  <si>
    <t>Compliance</t>
  </si>
  <si>
    <t>EIQ Clear</t>
  </si>
  <si>
    <t>CT-I-61</t>
  </si>
  <si>
    <t>Core</t>
  </si>
  <si>
    <t>CT-I-66</t>
  </si>
  <si>
    <t>INNOV-I-87</t>
  </si>
  <si>
    <t>EIQ Enterprise Platform</t>
  </si>
  <si>
    <t>EIQ Enterprise: Self Pay Epic Artiva - Scale migrate clients to pull from the lake</t>
  </si>
  <si>
    <t>INNOV-I-124</t>
  </si>
  <si>
    <t>CC_2101 Insurance Authorization</t>
  </si>
  <si>
    <t>INNOV-I-124-1</t>
  </si>
  <si>
    <t>CC_4102 Insurance Follow-up</t>
  </si>
  <si>
    <t>INNOV-I-124-2</t>
  </si>
  <si>
    <t>INNOV-I-124-3</t>
  </si>
  <si>
    <t>CC_4205 Underpayments</t>
  </si>
  <si>
    <t>INNOV-I-124-4</t>
  </si>
  <si>
    <t>CC_3201 Revenue Integrity</t>
  </si>
  <si>
    <t>CT-I-27</t>
  </si>
  <si>
    <t>L4 - Roll out</t>
  </si>
  <si>
    <t>CT-I-28</t>
  </si>
  <si>
    <t>INNOV-I-111</t>
  </si>
  <si>
    <t>EIQ Collect</t>
  </si>
  <si>
    <t>EIQ Enterprise Excellence: AR / Denials Inventory Management</t>
  </si>
  <si>
    <t>XL</t>
  </si>
  <si>
    <t>BACKRCM-E-641</t>
  </si>
  <si>
    <t>CT-I-38</t>
  </si>
  <si>
    <t>AOP_2024_1</t>
  </si>
  <si>
    <t>AOP_2024_2</t>
  </si>
  <si>
    <t>AOP_2024_3</t>
  </si>
  <si>
    <t>CT-I-33</t>
  </si>
  <si>
    <t>EIQ Enterprise: Clinical Data Acquisition</t>
  </si>
  <si>
    <t>CT-I-36</t>
  </si>
  <si>
    <t>Data</t>
  </si>
  <si>
    <t>EIQ Enterprise: Enterprise - Standardized Payer Plan</t>
  </si>
  <si>
    <t>AI-I-3</t>
  </si>
  <si>
    <t>Enterprise CoPilot</t>
  </si>
  <si>
    <t>AI-E-1</t>
  </si>
  <si>
    <t>AI-1-26</t>
  </si>
  <si>
    <t>AI-E-4</t>
  </si>
  <si>
    <t>AI-1-37</t>
  </si>
  <si>
    <t>AI-1-38</t>
  </si>
  <si>
    <t>AI-1-40</t>
  </si>
  <si>
    <t>AI-E-7</t>
  </si>
  <si>
    <t>AI-I-42</t>
  </si>
  <si>
    <t>AI-I-41</t>
  </si>
  <si>
    <t>CT-I-37</t>
  </si>
  <si>
    <t>CT-I-76</t>
  </si>
  <si>
    <t>Revenue Protection</t>
  </si>
  <si>
    <t>CC_4100 Patient Billing</t>
  </si>
  <si>
    <t>CT-I-45</t>
  </si>
  <si>
    <t xml:space="preserve">Standardization of Epic and best use of Epic resources. Maybe some need for interface team. </t>
  </si>
  <si>
    <t>TBD-Discovery</t>
  </si>
  <si>
    <t>Epic</t>
  </si>
  <si>
    <t>Epic Interfaces</t>
  </si>
  <si>
    <t>Hold for clarification</t>
  </si>
  <si>
    <t xml:space="preserve">Look at this to see if we can push through current charge interface.Check department requesting this? Rev Integ? </t>
  </si>
  <si>
    <t>Epic Interface: Download host Host documentation</t>
  </si>
  <si>
    <t>This should be a feature of automating RFIs</t>
  </si>
  <si>
    <t>Epic Interface: Upload to host documentation</t>
  </si>
  <si>
    <t xml:space="preserve">Which documents? For what purpose? Usually the flow is the other way? </t>
  </si>
  <si>
    <t xml:space="preserve">Doesn't the claim get corrected in the host? Are we asking for autocorrection? </t>
  </si>
  <si>
    <t>Epic Interface: PB notes integration</t>
  </si>
  <si>
    <t>CC_4112 Insurance Follow-up - PRC</t>
  </si>
  <si>
    <t>This should be a feature of PRC agent</t>
  </si>
  <si>
    <t>Epic Interface: Update provider information into Epic</t>
  </si>
  <si>
    <t xml:space="preserve">Conern that there is more that needs to be done when changing providers. This should be rare and done in the system. </t>
  </si>
  <si>
    <t>INTER-I-159</t>
  </si>
  <si>
    <t>Epic Interfaces: Demographic updates</t>
  </si>
  <si>
    <t>CC_4105 Eligibility/Charity</t>
  </si>
  <si>
    <t xml:space="preserve">Which data? From where? Input: calls &gt; artiva, skip tracing, payor. Need volume of updates here. Does it need to stop? Does patient need to confirm? </t>
  </si>
  <si>
    <t>Epic Interface: Obtain Epic medical records via Epic ADR</t>
  </si>
  <si>
    <t>Epic Interface: DOS/POS Corrections</t>
  </si>
  <si>
    <t>Kill</t>
  </si>
  <si>
    <t>Combine this one with the initaitive above</t>
  </si>
  <si>
    <t>CT-I-30</t>
  </si>
  <si>
    <t>Financial Clearance + Prediction</t>
  </si>
  <si>
    <t>Charity and Eligibility</t>
  </si>
  <si>
    <t>CT-I-54</t>
  </si>
  <si>
    <t>CC_2302 VUR Bedded Ins Auth</t>
  </si>
  <si>
    <t>CT-I-7</t>
  </si>
  <si>
    <t>CT-I-29</t>
  </si>
  <si>
    <t>INNOV-I-136</t>
  </si>
  <si>
    <t>Innovation</t>
  </si>
  <si>
    <t>Denial Prediction</t>
  </si>
  <si>
    <t>Denial Prediction: Auth risk scoring</t>
  </si>
  <si>
    <t>ANALYTICS-E-195</t>
  </si>
  <si>
    <t>CT-I-15</t>
  </si>
  <si>
    <t>Denial Prediction: DRG</t>
  </si>
  <si>
    <t>CC_3105 DRG Validation</t>
  </si>
  <si>
    <t>ANALYTICS-E-221</t>
  </si>
  <si>
    <t>CT-I-64</t>
  </si>
  <si>
    <t>Denial Prediction: COB</t>
  </si>
  <si>
    <t>ANALYTICS-E-228</t>
  </si>
  <si>
    <t>CT-I-65</t>
  </si>
  <si>
    <t>CT-I-40</t>
  </si>
  <si>
    <t>Denial Prediction: Outpatient Med Nec Denials</t>
  </si>
  <si>
    <t>CT-I-62</t>
  </si>
  <si>
    <t>INNOV-I-142</t>
  </si>
  <si>
    <t>Denial Prediction: CPT analysis</t>
  </si>
  <si>
    <t>EIQ Clear: Link missing Epic Referrals</t>
  </si>
  <si>
    <t>FRONTRCM-E-193</t>
  </si>
  <si>
    <t>2a</t>
  </si>
  <si>
    <t>Not in Aha</t>
  </si>
  <si>
    <t>CT-I-11</t>
  </si>
  <si>
    <t>EIQCLEAR-E-65</t>
  </si>
  <si>
    <t>FRONTRCM-E-125</t>
  </si>
  <si>
    <t>EIQ Clear: eMPA Compatibility</t>
  </si>
  <si>
    <t>FRONTRCM-E-142</t>
  </si>
  <si>
    <t>FRONTRCM-E-139</t>
  </si>
  <si>
    <t>FRONTRCM-E-174</t>
  </si>
  <si>
    <t>EIQ Clear: Pre-registration Module</t>
  </si>
  <si>
    <t>FRONTRCM-E-138</t>
  </si>
  <si>
    <t>FRONTRCM-E-158</t>
  </si>
  <si>
    <t>EIQ Clear: NSA/Self Pay Inventory Assignment Rules</t>
  </si>
  <si>
    <t>FRONTRCM-E-154</t>
  </si>
  <si>
    <t>FRONTRCM-E-197</t>
  </si>
  <si>
    <t>FRONTRCM-E-161</t>
  </si>
  <si>
    <t>EIQ Clear: Standardized PreRegistration Inventory Assignment Rules</t>
  </si>
  <si>
    <t>FRONTRCM-E-157</t>
  </si>
  <si>
    <t>FRONTRCM-N-11</t>
  </si>
  <si>
    <t>CT-I-57</t>
  </si>
  <si>
    <t>EIQ Clear: Inpatient in-house authorization</t>
  </si>
  <si>
    <t>Not in AHA</t>
  </si>
  <si>
    <t>EIQ Clear: Assignment reassessment change rules values</t>
  </si>
  <si>
    <t>Need to decide broader play here</t>
  </si>
  <si>
    <t>EIQ Clear: Ensuite productivity dashboard</t>
  </si>
  <si>
    <t>FRONTRCM-E-153</t>
  </si>
  <si>
    <t>EIQ Clear: Predictive analytics for estimate accuracy per CPT/payor</t>
  </si>
  <si>
    <t>FRONTRCM-E-155</t>
  </si>
  <si>
    <t>EIQ Clear: Medical Necessity/Medical Policy</t>
  </si>
  <si>
    <t>EIQCLEAR-E-67</t>
  </si>
  <si>
    <t>INNOV-I-113</t>
  </si>
  <si>
    <t>EIQ Clear: Clinical Data FHIR MAR, flowsheets</t>
  </si>
  <si>
    <t>EIQ Clear: CPT Mismatch/Amended Auth WQs</t>
  </si>
  <si>
    <t>FRONTRCM-E-140</t>
  </si>
  <si>
    <t>EIQ Clear: All Payer Medical Necessity/Medical Policy</t>
  </si>
  <si>
    <t>EIQCLEAR-E-68</t>
  </si>
  <si>
    <t>EIQ Clear: Red/Green Light worklist</t>
  </si>
  <si>
    <t>FRONTRCM-E-156</t>
  </si>
  <si>
    <t>EIQ Clear: AI risk scoring to prevent authorization denials.</t>
  </si>
  <si>
    <t>CT-I-10</t>
  </si>
  <si>
    <t>EIQ Clear: Assign action logs to Epic</t>
  </si>
  <si>
    <t>FRONTRCM-E-127</t>
  </si>
  <si>
    <t>EIQ Clear: Connect standardized rules</t>
  </si>
  <si>
    <t>FRONTRCM-E-150</t>
  </si>
  <si>
    <t>In-flight, figure out the issue</t>
  </si>
  <si>
    <t>EIQCLEAR-E-80</t>
  </si>
  <si>
    <t>INNOV-I-112</t>
  </si>
  <si>
    <t>EIQ Clear: Clinical Data FHIR documents and Lab Connections</t>
  </si>
  <si>
    <t>CT-I-9</t>
  </si>
  <si>
    <t>EIQ Clear: Surgical pathology clinical viewer</t>
  </si>
  <si>
    <t>CT-I-12</t>
  </si>
  <si>
    <t>Patient Engagement</t>
  </si>
  <si>
    <t>Epic Diamonds</t>
  </si>
  <si>
    <t>CC_2203 Registration</t>
  </si>
  <si>
    <t>CT-I-8</t>
  </si>
  <si>
    <t>Scheduling</t>
  </si>
  <si>
    <t>CC_2102 Scheduling</t>
  </si>
  <si>
    <t>CT-I-52</t>
  </si>
  <si>
    <t>Artiva</t>
  </si>
  <si>
    <t>CC_4107 Mail/Scanning</t>
  </si>
  <si>
    <t>ANALYTICS-E-186</t>
  </si>
  <si>
    <t>CT-I-78</t>
  </si>
  <si>
    <t>Cedar</t>
  </si>
  <si>
    <t>CT-I-80</t>
  </si>
  <si>
    <t>Phreesia</t>
  </si>
  <si>
    <t>INNOV-I-122</t>
  </si>
  <si>
    <t>Virtual Agent</t>
  </si>
  <si>
    <t>Virtual Agent: Patient Access - Insurance Verification</t>
  </si>
  <si>
    <t>BACKRCM-E-667</t>
  </si>
  <si>
    <t>Virtual Agent: Patient Access - Demographics Verification</t>
  </si>
  <si>
    <t>BACKRCM-E-666</t>
  </si>
  <si>
    <t>Virtual Agent: Patient Access - Auto scheduling</t>
  </si>
  <si>
    <t>CT-I-42</t>
  </si>
  <si>
    <t xml:space="preserve">Broader process improvement play. Not just a call process. Done pre-service? Communication methods? </t>
  </si>
  <si>
    <t>BACKRCM-E-834</t>
  </si>
  <si>
    <t>BACKRCM-N-439</t>
  </si>
  <si>
    <t>ANALYTICS-E-185</t>
  </si>
  <si>
    <t>INNOV-I-121</t>
  </si>
  <si>
    <t>BACKRCM-E-765</t>
  </si>
  <si>
    <t>BACKRCM-E-726</t>
  </si>
  <si>
    <t>INNOV-I-146</t>
  </si>
  <si>
    <t>INNOV-I-119</t>
  </si>
  <si>
    <t>Virtual Agent: Patient ID for all CSR and Scheduling</t>
  </si>
  <si>
    <t>L6 - already realized value - maintenance</t>
  </si>
  <si>
    <t>BACKRCM-E-575</t>
  </si>
  <si>
    <t>INNOV-I-120</t>
  </si>
  <si>
    <t>Virtual Agent: Deploy Five9 Agent Assist to Auto‑Generate Call Summaries</t>
  </si>
  <si>
    <t>CT-I-48</t>
  </si>
  <si>
    <t>L0</t>
  </si>
  <si>
    <t>CT-I-63</t>
  </si>
  <si>
    <t>Revenue Generation</t>
  </si>
  <si>
    <t>Pricing Optimization</t>
  </si>
  <si>
    <t>MIDRCM-E-208</t>
  </si>
  <si>
    <t>MIDRCM-E-209</t>
  </si>
  <si>
    <t>Office of the CFO</t>
  </si>
  <si>
    <t>Government reimbursement</t>
  </si>
  <si>
    <t>INNOV-I-89</t>
  </si>
  <si>
    <t>Appeal Process Automation</t>
  </si>
  <si>
    <t>Appeal Process Automation: RFI/ ED Downgrade analytics</t>
  </si>
  <si>
    <t>Update this for connection or the logic for appeals</t>
  </si>
  <si>
    <t>Appeal Process Automation: Automated appeal for ED downgrade</t>
  </si>
  <si>
    <t>BACKRCM-E-797</t>
  </si>
  <si>
    <t xml:space="preserve">This is linked or should be to 791. Please confirm efforts here. What they choose to use the capability on or the timeframe is not really a separate project. </t>
  </si>
  <si>
    <t>BACKRCM-E-782</t>
  </si>
  <si>
    <t>INNOV-I-143</t>
  </si>
  <si>
    <t>CC_4103 Self Pay Operations</t>
  </si>
  <si>
    <t>Appeal Process Automation: Submit ED Downgrades and RFIs</t>
  </si>
  <si>
    <t>CT-I-24</t>
  </si>
  <si>
    <t>EIQ Collect: Bad Debt Workflow Automation</t>
  </si>
  <si>
    <t>CT-I-43</t>
  </si>
  <si>
    <t>AR Agent</t>
  </si>
  <si>
    <t>AR Agent: Automated self-pay account trial balances</t>
  </si>
  <si>
    <t>Why is this not done within Finvi? Potentially pushing to be solved this week. Finvi, vs. other vs. build ourselves?</t>
  </si>
  <si>
    <t>AR Agent: Payor agent hold</t>
  </si>
  <si>
    <t>AR Agent: Resolve insurance paid, no denials</t>
  </si>
  <si>
    <t>BACKRCM-E-824</t>
  </si>
  <si>
    <t>AR Agent: Resolve aged, no response - Acute</t>
  </si>
  <si>
    <t>BACKRCM-E-827</t>
  </si>
  <si>
    <t>CT-I-41</t>
  </si>
  <si>
    <t>AR Agent: Submit RFI requested documentation based on denial prediction</t>
  </si>
  <si>
    <t>AR Agent: Resolve technical denials</t>
  </si>
  <si>
    <t>BACKRCM-E-828</t>
  </si>
  <si>
    <t>CT-I-47</t>
  </si>
  <si>
    <t>AR Agent: Payor agent hold - underpayments</t>
  </si>
  <si>
    <t>Get volume of claim by claim resolved by phone call vs. written appeal or bulk</t>
  </si>
  <si>
    <t>CT-I-46</t>
  </si>
  <si>
    <t>AR Agent: Underpayments - streamline research of accounts that need follow-up</t>
  </si>
  <si>
    <t>INNOV-I-109</t>
  </si>
  <si>
    <t>Cash Automation</t>
  </si>
  <si>
    <t>CC_4101 Cash Posting</t>
  </si>
  <si>
    <t>BACKRCM-E-808</t>
  </si>
  <si>
    <t>INNOV-I-144</t>
  </si>
  <si>
    <t>BACKRCM-E-776</t>
  </si>
  <si>
    <t>BACKRCM-E-760</t>
  </si>
  <si>
    <t>BACKRCM-E-766</t>
  </si>
  <si>
    <t xml:space="preserve">Is this actually fixing these errors or just providing a report? </t>
  </si>
  <si>
    <t>BACKRCM-E-588</t>
  </si>
  <si>
    <t>CT-I-32</t>
  </si>
  <si>
    <t>BACKRCM-E-762</t>
  </si>
  <si>
    <t>CT-I-31</t>
  </si>
  <si>
    <t>CASH-1</t>
  </si>
  <si>
    <t>INNOV-I-128</t>
  </si>
  <si>
    <t>EIQ Collect: Correspondence through SSI</t>
  </si>
  <si>
    <t xml:space="preserve">EOB conversion? Outsourcing correspondance. Need to combine all of these into one effort for OCR. </t>
  </si>
  <si>
    <t>CT-I-53</t>
  </si>
  <si>
    <t>BACKRCM-E-839</t>
  </si>
  <si>
    <t>BACKRCM-E-997</t>
  </si>
  <si>
    <t>BACKRCM-E-841</t>
  </si>
  <si>
    <t>BACKRCM-E-847</t>
  </si>
  <si>
    <t>BACKRCM-E-850</t>
  </si>
  <si>
    <t>BACKRCM-E-849</t>
  </si>
  <si>
    <t>CT-I-53-1</t>
  </si>
  <si>
    <t>INNOV-I-95</t>
  </si>
  <si>
    <t>Letters - BACKRCM-E-647 &amp; Adjustments - BACKRCM-E-664</t>
  </si>
  <si>
    <t>CT-I-56</t>
  </si>
  <si>
    <t>EIQ Collect: Appeal strength calculator</t>
  </si>
  <si>
    <t>BACKRCM-E-844</t>
  </si>
  <si>
    <t>INNOV-I-92</t>
  </si>
  <si>
    <t>EIQ Collect: Claim Status (Acute)</t>
  </si>
  <si>
    <t>BACKRCM-S-36</t>
  </si>
  <si>
    <t>CT-I-13</t>
  </si>
  <si>
    <t>EIQ Collect: Enable offshore Epic work</t>
  </si>
  <si>
    <t>BACKRCM-S-20</t>
  </si>
  <si>
    <t>CT-I-55</t>
  </si>
  <si>
    <t>EIQ Collect: Max allowable adjustment</t>
  </si>
  <si>
    <t>BACKRCM-E-821</t>
  </si>
  <si>
    <t>EIQ Enforce</t>
  </si>
  <si>
    <t>EIQ Enforce: Underpayments/CM rules engine optimization</t>
  </si>
  <si>
    <t>INSOVER-E-78</t>
  </si>
  <si>
    <t>INNOV-I-132</t>
  </si>
  <si>
    <t>INSOVER-E-75</t>
  </si>
  <si>
    <t>EIQ Enforce: Contract management calculations - CAH</t>
  </si>
  <si>
    <t>INSOVER-E-77</t>
  </si>
  <si>
    <t>EIQ Enforce: Contract management calculations - State MCD APR-DRG IP</t>
  </si>
  <si>
    <t>EIQENFORCE-E-31</t>
  </si>
  <si>
    <t>INNOV-I-131</t>
  </si>
  <si>
    <t>INSOVER-E-82</t>
  </si>
  <si>
    <t>EIQ Enforce: Contract management calculations - Tricare IPPS</t>
  </si>
  <si>
    <t>EIQENFORCE-E-27</t>
  </si>
  <si>
    <t>EIQ Enforce: Contract management calculations - Tricare OPPS</t>
  </si>
  <si>
    <t>EIQ Enforce: Contract management calculations - MCR SNF</t>
  </si>
  <si>
    <t>EIQENFORCE-E-33</t>
  </si>
  <si>
    <t>EIQ Enforce: Contract management calculations - MCRIRF</t>
  </si>
  <si>
    <t>EIQENFORCE-E-36</t>
  </si>
  <si>
    <t>EIQ Enforce: Contract management calculations - State MCD EAPG OP</t>
  </si>
  <si>
    <t>EIQENFORCE-E-29</t>
  </si>
  <si>
    <t>EIQ Enforce: Contract management calculations - Transplants</t>
  </si>
  <si>
    <t>EIQENFORCE-E-34</t>
  </si>
  <si>
    <t>INNOV-I-130</t>
  </si>
  <si>
    <t>INSOVER-E-91</t>
  </si>
  <si>
    <t>INNOV-I-129</t>
  </si>
  <si>
    <t>INSOVER-E-99</t>
  </si>
  <si>
    <t>ENFORCE-2</t>
  </si>
  <si>
    <t>INSOVER-E-100</t>
  </si>
  <si>
    <t>ENFORCE-4</t>
  </si>
  <si>
    <t>INSOVER-E-95</t>
  </si>
  <si>
    <t>ENFORCE-5</t>
  </si>
  <si>
    <t>INSOVER-E-96</t>
  </si>
  <si>
    <t>ENFORCE-6</t>
  </si>
  <si>
    <t>INSOVER-E-97</t>
  </si>
  <si>
    <t>ENFORCE-10</t>
  </si>
  <si>
    <t>INSOVER-E-98</t>
  </si>
  <si>
    <t>ENFORCE-7</t>
  </si>
  <si>
    <t>INSOVER-E-92</t>
  </si>
  <si>
    <t>ENFORCE-8</t>
  </si>
  <si>
    <t>INSOVER-E-93</t>
  </si>
  <si>
    <t>ENFORCE-9</t>
  </si>
  <si>
    <t>INSOVER-E-94</t>
  </si>
  <si>
    <t>ENFORCE-3</t>
  </si>
  <si>
    <t>CT-I-14</t>
  </si>
  <si>
    <t>EIQ Integrity: DDS Reporting</t>
  </si>
  <si>
    <t>MIDRCM-E-154</t>
  </si>
  <si>
    <t>CT-I-35</t>
  </si>
  <si>
    <t>MIDRCM-E-166</t>
  </si>
  <si>
    <t>CT-I-16</t>
  </si>
  <si>
    <t>MIDRCM-E-171</t>
  </si>
  <si>
    <t>CT-I-58</t>
  </si>
  <si>
    <t xml:space="preserve">EIQ Integrity: Automate client CDM updates </t>
  </si>
  <si>
    <t>MIDRCM-E-175</t>
  </si>
  <si>
    <t xml:space="preserve">INNOV-I-140 </t>
  </si>
  <si>
    <t>EIQ Integrity: Identify missing CC/MCC using LLM</t>
  </si>
  <si>
    <t>CC_3100 Clinical Documentation</t>
  </si>
  <si>
    <t>MIDRCM-E-187</t>
  </si>
  <si>
    <t>MIDRCM-E-192, MIDRCM-E-193, MIDRCM-E-194</t>
  </si>
  <si>
    <t>MIDRCM-E-196</t>
  </si>
  <si>
    <t>MIDRCM-E-197</t>
  </si>
  <si>
    <t>MIDRCM-E-198</t>
  </si>
  <si>
    <t>MIDRCM-E-199</t>
  </si>
  <si>
    <t>CT-I-77</t>
  </si>
  <si>
    <t>CT-I-81</t>
  </si>
  <si>
    <t>INNOV-I-110</t>
  </si>
  <si>
    <t>INNOV-I-93</t>
  </si>
  <si>
    <t>PRC</t>
  </si>
  <si>
    <t>CT-I-51</t>
  </si>
  <si>
    <t>Expansion of current project</t>
  </si>
  <si>
    <t>INNOV-I-100</t>
  </si>
  <si>
    <t>PRC: Appeal Automation into PRC</t>
  </si>
  <si>
    <t>BACKRCM-E-648</t>
  </si>
  <si>
    <t>INNOV-I-107</t>
  </si>
  <si>
    <t>PRC: EIQ Collect</t>
  </si>
  <si>
    <t>INNOV-I-98</t>
  </si>
  <si>
    <t>PRC: Resolve denied PRC accounts</t>
  </si>
  <si>
    <t>XXL</t>
  </si>
  <si>
    <t>BACKRCM-E-829</t>
  </si>
  <si>
    <t>PRC: Resolve aged, no response - PRC</t>
  </si>
  <si>
    <t>BACKRCM-E-825</t>
  </si>
  <si>
    <t>CT-I-17</t>
  </si>
  <si>
    <t>Billing Inventory</t>
  </si>
  <si>
    <t>IT-N-167</t>
  </si>
  <si>
    <t>CT-I-75</t>
  </si>
  <si>
    <t>EIQ One</t>
  </si>
  <si>
    <t xml:space="preserve"> Inpatient in-house authorization</t>
  </si>
  <si>
    <t>Cost Center</t>
  </si>
  <si>
    <t>EIQ Integrity: Platform modernization</t>
  </si>
  <si>
    <t>Virtual Agent: Patient Access -Medicaid/charity eligibility screening</t>
  </si>
  <si>
    <t>Denial Prediction: CDI</t>
  </si>
  <si>
    <t>EIQ Enterprise Excellence: Billing Inventory Management</t>
  </si>
  <si>
    <t>Virtual Agent:: Automating delivery of itemized bills for patients</t>
  </si>
  <si>
    <t>Cash and Credits: Offsetting transaction resolution</t>
  </si>
  <si>
    <t>Cash and Credits: Cash posting error reason and recommendation</t>
  </si>
  <si>
    <t>Cash and Credits:  Automated retrival of missing remit</t>
  </si>
  <si>
    <t>Cash and Credits: Cash posting error reports</t>
  </si>
  <si>
    <t>Cash and Credits: Cash recon performance enhancements</t>
  </si>
  <si>
    <t>EIQ Collect: Automate creation and data input of appeal record</t>
  </si>
  <si>
    <t>EIQ Collect: Appeal record linking</t>
  </si>
  <si>
    <t>EIQ Collect: Create appeal records from audit letters</t>
  </si>
  <si>
    <t>PRC: Credit overpayment letter</t>
  </si>
  <si>
    <t xml:space="preserve">PRC: Payor Agent Implementation </t>
  </si>
  <si>
    <t>Appeal Process Automation: Automate EOB submission</t>
  </si>
  <si>
    <t>Appeal Process Automationt: Automated submission of RFI data</t>
  </si>
  <si>
    <t>EIQ Clear: Cerner Integration FMC</t>
  </si>
  <si>
    <t>EIQ Clear: Enhanced pre-auth</t>
  </si>
  <si>
    <t>EIQ Clear: Payor updates in EIQ - Enhance PayorIQ w/ LLM</t>
  </si>
  <si>
    <t>EIQ Clear: Epic Diamonds Patient Activation</t>
  </si>
  <si>
    <t>Invoice Analytics: Invoice Analytics</t>
  </si>
  <si>
    <t xml:space="preserve"> Pre-registration Module</t>
  </si>
  <si>
    <t>Cash and Credits: Identify and correct remittance errors using charge file</t>
  </si>
  <si>
    <t>SG&amp;A Excellence: AP Automation</t>
  </si>
  <si>
    <t>Invoice Analytics: Global vendor audits</t>
  </si>
  <si>
    <t>Invoice Analytics: Claim status overpayment algorithms</t>
  </si>
  <si>
    <t>Invoice Analytics: Bad debt / coverage discovery new client audits</t>
  </si>
  <si>
    <t>Enhancement</t>
  </si>
  <si>
    <t xml:space="preserve">EIQ Enterprise Platform </t>
  </si>
  <si>
    <t>SG&amp;A Excellence</t>
  </si>
  <si>
    <t>Cash and Credits</t>
  </si>
  <si>
    <t>Total FTEs</t>
  </si>
  <si>
    <t>Total Labor Cost</t>
  </si>
  <si>
    <t>% improvement estimate from Motherload</t>
  </si>
  <si>
    <t>Initiative</t>
  </si>
  <si>
    <t>Now/ Next/ Later/ Kill</t>
  </si>
  <si>
    <t>Rejected</t>
  </si>
  <si>
    <t>CC_2100 Financial Clearance</t>
  </si>
  <si>
    <t>CC_3101 Coding
CC_3104 Professional Coding</t>
  </si>
  <si>
    <t>CC_4120 Credit Balances - PRC</t>
  </si>
  <si>
    <t>EIQ Enterprise: Productivity Tool - Enterprise-wide</t>
  </si>
  <si>
    <t>Clinical Reasoning: Live transcription and translation of encounters into clinical docs and codes</t>
  </si>
  <si>
    <t>RPA/Cloverleaf: Artiva Integration POC</t>
  </si>
  <si>
    <t>Epic Interfaces: Automation of billing tasks</t>
  </si>
  <si>
    <t>Epic Interface: Submit corred claim for host after denial resolution</t>
  </si>
  <si>
    <t>New CT Initiative/POD</t>
  </si>
  <si>
    <t xml:space="preserve">New CT  Capability Standardized Names
</t>
  </si>
  <si>
    <t>Initaitive Name</t>
  </si>
  <si>
    <t>Labor Benefits</t>
  </si>
  <si>
    <t>EIQ Integrity: Integrate with Solventum</t>
  </si>
  <si>
    <t>needs intake</t>
  </si>
  <si>
    <t xml:space="preserve">Determine what we are trying to do. What do we expect the increased outcome to be? </t>
  </si>
  <si>
    <t>Clinical Reasoning: Generate more EMR sections for technical appeals</t>
  </si>
  <si>
    <t xml:space="preserve">What sections are needed and how often? </t>
  </si>
  <si>
    <t>Autonomous Coding: HB Autonomous</t>
  </si>
  <si>
    <t>Automous Coding: HB CAC</t>
  </si>
  <si>
    <t xml:space="preserve">Can we get lag information? Whats the impact of this? More of a Moonshot? </t>
  </si>
  <si>
    <t>Automous Coding: PB CAC</t>
  </si>
  <si>
    <t>Clinical Reasoning:Reuse previously generated EMR information and Partial medical record generation</t>
  </si>
  <si>
    <t>EIQ Advise: worklist mgmt and nurse assignment</t>
  </si>
  <si>
    <t>EIQ Enterprise: 835 Remit Data/Denial and Physician Leakage Reporting</t>
  </si>
  <si>
    <t xml:space="preserve">This is really the workflow. Ops has to do this first. </t>
  </si>
  <si>
    <t>Epic Interface: Add modifiers for claim corrections</t>
  </si>
  <si>
    <t>Epic Enhancements</t>
  </si>
  <si>
    <t>Turn on in Epic first then replicate</t>
  </si>
  <si>
    <t>EIQ Clear: Assignment disposition reason tracking</t>
  </si>
  <si>
    <t>EIQ Clear: Auto clear Epic encounters</t>
  </si>
  <si>
    <t>Break this out and understand issues</t>
  </si>
  <si>
    <t>Bluemark: Bluemark Insurance Discovery Day 1</t>
  </si>
  <si>
    <t>Bluemark: Bluemark IP Auth BIA Workflow</t>
  </si>
  <si>
    <t>Werent we using different tech for this?</t>
  </si>
  <si>
    <t>EIQ Clear: Cerner Integration pilot</t>
  </si>
  <si>
    <t>Already being built for the back end but need to be made available in Clear</t>
  </si>
  <si>
    <t>Replicate Epic functionality in EIQ</t>
  </si>
  <si>
    <t xml:space="preserve">Do we have concern that we are not compliant and what the requirements we need to make sure we match? Do in Epic first then EIQ. </t>
  </si>
  <si>
    <t>EIQ Clear:Enhanced Auth/Cert surgery referrals</t>
  </si>
  <si>
    <t>Need prioritized list by volume and impact</t>
  </si>
  <si>
    <t xml:space="preserve">UI change? </t>
  </si>
  <si>
    <t>EIQ Clear: ERM Payment Card Data</t>
  </si>
  <si>
    <t>This is likely a compliance/ audit request</t>
  </si>
  <si>
    <t xml:space="preserve">Should replace bluemark </t>
  </si>
  <si>
    <t xml:space="preserve">Can this be done in Epic today or not? Then replication or new functionality? </t>
  </si>
  <si>
    <t xml:space="preserve">Workflow ranking? Need to find out. Epic first. </t>
  </si>
  <si>
    <t>Bluemark: P2P / PARO intergration</t>
  </si>
  <si>
    <t xml:space="preserve">Replication of Epic or new functionality? </t>
  </si>
  <si>
    <t>Inventory monitoring then worklist but other hurdles need to be acoomplished first</t>
  </si>
  <si>
    <t>Is there an Ops standard? Do we need to standardize in Epic? Are we replicating in EIQ or creating functionality that they do not have?</t>
  </si>
  <si>
    <t>EIQ Clear: Visual of estimate status (auto created vs auto finalized)</t>
  </si>
  <si>
    <t xml:space="preserve">Indicator of status? Replication of Epic or new functionality? </t>
  </si>
  <si>
    <t>EIQ Clear: Vyne - Enterprise Faxing</t>
  </si>
  <si>
    <t>Bluemark: Waystar Auth integration</t>
  </si>
  <si>
    <t xml:space="preserve">Where is this in roll out? Does RevSpring Cover 100% of non-electronic? </t>
  </si>
  <si>
    <t xml:space="preserve">Virtual Agent: Self service balance inquiry </t>
  </si>
  <si>
    <t>Virtual Agent: Self service denial information</t>
  </si>
  <si>
    <t>Cash and Credits: Acute credit overpayment letter notification</t>
  </si>
  <si>
    <t>EIQ Enforce: Agentic PoC</t>
  </si>
  <si>
    <t>Connection issue, reasoning issue, or document access issue?</t>
  </si>
  <si>
    <t xml:space="preserve">Split this intot two. ED Downgrade RFI Submission. </t>
  </si>
  <si>
    <t>Appeal Process Automation: Automated appeal low balance clinical denails</t>
  </si>
  <si>
    <r>
      <rPr>
        <sz val="11"/>
        <color theme="1"/>
        <rFont val="Aptos"/>
        <family val="2"/>
      </rPr>
      <t>EIQ Collect: Automated Document Acquisition from imaging system</t>
    </r>
  </si>
  <si>
    <t>Document acquistion for appeal packets</t>
  </si>
  <si>
    <t>Cash and Credits: Clearing account and non-patient cash reporting</t>
  </si>
  <si>
    <t>credits phase 2 or separate intake needed?</t>
  </si>
  <si>
    <t>L0 Control Tower</t>
  </si>
  <si>
    <t>PRC: EIQ Connect (PRO)</t>
  </si>
  <si>
    <t>Lori to update</t>
  </si>
  <si>
    <t>EIQ Integrity: Lift calculation for CDI, Code Change, and Coding Validation</t>
  </si>
  <si>
    <t>Appeal Process Automation: Recover unsbmitted ED downgrades revenue</t>
  </si>
  <si>
    <t xml:space="preserve">Need to split volume of proactively sending vs. must wait. Change to "Submit RFI requested documentation based on prediction" </t>
  </si>
  <si>
    <t>Epic Enhancements: Coverage discovery integration - Waystar</t>
  </si>
  <si>
    <t>Should move from Epic or dual track</t>
  </si>
  <si>
    <t>EIQ Clear:Clear action log of cancelled Auth</t>
  </si>
  <si>
    <t>EIQ Clear: Post benefits notes back to host</t>
  </si>
  <si>
    <t>Enhancment</t>
  </si>
  <si>
    <t>EIQ Integrity: [Pending]</t>
  </si>
  <si>
    <t>Determine what V.1 and V.2 are doing</t>
  </si>
  <si>
    <t>Done</t>
  </si>
  <si>
    <t>EIQ Collect: Audit Module Enhancements</t>
  </si>
  <si>
    <t>INNOV-I-127</t>
  </si>
  <si>
    <t>Should this be an enhancement?</t>
  </si>
  <si>
    <t>MIDRCM-I-658</t>
  </si>
  <si>
    <t>CT-I-82</t>
  </si>
  <si>
    <t>CT-I-79</t>
  </si>
  <si>
    <t>L1</t>
  </si>
  <si>
    <t>CT-I-74</t>
  </si>
  <si>
    <t>EIQCLEAR-E-75</t>
  </si>
  <si>
    <t>Host Interfaces</t>
  </si>
  <si>
    <t>ACE-E-20</t>
  </si>
  <si>
    <t>CT-I-83</t>
  </si>
  <si>
    <t>CT-I-68</t>
  </si>
  <si>
    <t>CT-I-69</t>
  </si>
  <si>
    <t>CT-I-70</t>
  </si>
  <si>
    <t>CT-I-71</t>
  </si>
  <si>
    <t>CT-I-72</t>
  </si>
  <si>
    <t>CT-I-73</t>
  </si>
  <si>
    <t>CT-I-84</t>
  </si>
  <si>
    <t>CT-I-85</t>
  </si>
  <si>
    <t>L-Gate</t>
  </si>
  <si>
    <t>L5</t>
  </si>
  <si>
    <t xml:space="preserve">Cost Center </t>
  </si>
  <si>
    <t>Milestone</t>
  </si>
  <si>
    <t xml:space="preserve"> Generate more EMR sections for technical appeals (H&amp;P, orders, implant invoices, referrals, appointment history)</t>
  </si>
  <si>
    <t xml:space="preserve"> DAX Integration - Live transcription and translation of encounters into clinical docs and codes</t>
  </si>
  <si>
    <t xml:space="preserve"> Reasoning model for charge capture away from hard rules</t>
  </si>
  <si>
    <t xml:space="preserve"> Post discharge CDI logic to replace Solventum CDI logic</t>
  </si>
  <si>
    <t xml:space="preserve"> Concurrent CDI logic to replace Solventum CDI logic</t>
  </si>
  <si>
    <t xml:space="preserve"> Elixhauser flagging</t>
  </si>
  <si>
    <t xml:space="preserve"> Coding review model for DRG and CC/MCC</t>
  </si>
  <si>
    <t xml:space="preserve"> Logic arbitration for LLM vs. ML vs. hard codes for insights and queries </t>
  </si>
  <si>
    <t xml:space="preserve"> Combining concurrent CDI + concurrent UR logic to create one workflow and one team</t>
  </si>
  <si>
    <t xml:space="preserve"> Query builder to integrate natively into client EMR </t>
  </si>
  <si>
    <t xml:space="preserve"> HB Autonomous Inpatient</t>
  </si>
  <si>
    <t xml:space="preserve"> Clinical justification Review and regeneration</t>
  </si>
  <si>
    <t xml:space="preserve"> Improve clinical notes through denial reason insights </t>
  </si>
  <si>
    <t xml:space="preserve"> Present  clinical notes for Physician Advisory P2P</t>
  </si>
  <si>
    <t xml:space="preserve"> Expanded denials - denied days, experimental, missed notification, no authoritization, and readmission</t>
  </si>
  <si>
    <t xml:space="preserve"> Store previously pulled clinical data in a central location accessible via EIQ vs. current shared file or DB today.</t>
  </si>
  <si>
    <t xml:space="preserve"> 360 Encompass Foundational</t>
  </si>
  <si>
    <t xml:space="preserve"> PB CAC</t>
  </si>
  <si>
    <t xml:space="preserve"> PB Autonomous</t>
  </si>
  <si>
    <t xml:space="preserve"> 360 Encompass/Cloud/HB CAC</t>
  </si>
  <si>
    <t xml:space="preserve"> HB Autonomous Outpatient</t>
  </si>
  <si>
    <t xml:space="preserve"> Clinical AI Engine Redesign – POC and Implementation</t>
  </si>
  <si>
    <t xml:space="preserve"> Utilize data lake clinical information</t>
  </si>
  <si>
    <t xml:space="preserve"> Solarity | All Client Implementations </t>
  </si>
  <si>
    <t xml:space="preserve"> Clinical summarization</t>
  </si>
  <si>
    <t xml:space="preserve"> Clinical Guidelines</t>
  </si>
  <si>
    <t xml:space="preserve"> Worklist mgmt and nurse assignment</t>
  </si>
  <si>
    <t xml:space="preserve"> GenAI  Appeal Letter Generation</t>
  </si>
  <si>
    <t xml:space="preserve"> Artiva / Finvi Integration - Production</t>
  </si>
  <si>
    <t xml:space="preserve"> Credits adjustments automation</t>
  </si>
  <si>
    <t xml:space="preserve"> Artiva / Finvi Integration POC</t>
  </si>
  <si>
    <t xml:space="preserve"> Productivity Tool - Insurance Authorization</t>
  </si>
  <si>
    <t xml:space="preserve"> Productivity Tool - Insurance Follow-up</t>
  </si>
  <si>
    <t xml:space="preserve"> Productivity Tool - Denials &amp; Appeals</t>
  </si>
  <si>
    <t xml:space="preserve"> Productivity Tool - Underpayments</t>
  </si>
  <si>
    <t xml:space="preserve"> Productivity Tool - Revenue Integrity</t>
  </si>
  <si>
    <t xml:space="preserve"> [Global Vendors] Enterprise Front RCM Vendors Audit 2026 Expansion</t>
  </si>
  <si>
    <t xml:space="preserve"> [Software Telephony] Enterprise Vendor Audit 2027</t>
  </si>
  <si>
    <t xml:space="preserve"> [Enterprise] Connect to upstream Account reconcilliation Back RCM</t>
  </si>
  <si>
    <t xml:space="preserve"> AR / Denials Inventory Management</t>
  </si>
  <si>
    <t xml:space="preserve"> [Software Self-pay] Enterprise Vendor Audit 2027</t>
  </si>
  <si>
    <t xml:space="preserve"> [Enterprise] Invoice evaluation at receipt</t>
  </si>
  <si>
    <t xml:space="preserve"> [AMN/Aquity] [Ardent] Legacy Vendor Audit 2027</t>
  </si>
  <si>
    <t xml:space="preserve"> [Software Microsoft] Enterprise Vendor Audit 2027</t>
  </si>
  <si>
    <t xml:space="preserve"> Vendor Recon - Bad Debt andother Recon</t>
  </si>
  <si>
    <t xml:space="preserve"> Other Vendor Audits</t>
  </si>
  <si>
    <t xml:space="preserve"> EIQ Data to Lake</t>
  </si>
  <si>
    <t xml:space="preserve"> Q2 Spec 2026 - Expansion of Referrals, Registration and Work Queue</t>
  </si>
  <si>
    <t xml:space="preserve"> Industry Standard Data for Medicare / CMS / etc.</t>
  </si>
  <si>
    <t xml:space="preserve"> Expand HL7 to Lake - SIU / ORM / MDM / REF</t>
  </si>
  <si>
    <t xml:space="preserve"> Coding - Comparative coding</t>
  </si>
  <si>
    <t xml:space="preserve"> SVC Compliance Coding Audit</t>
  </si>
  <si>
    <t xml:space="preserve"> CMS Prior Auth API</t>
  </si>
  <si>
    <t xml:space="preserve"> Compliance Data Analytics</t>
  </si>
  <si>
    <t xml:space="preserve"> Unified Data Layer of De-ID Clinical and Admin Data for GenAI Use Cases</t>
  </si>
  <si>
    <t xml:space="preserve"> Modernize Client Assessment</t>
  </si>
  <si>
    <t xml:space="preserve"> [Enterprise] Expansion of vendors and grouping of vendors</t>
  </si>
  <si>
    <t xml:space="preserve"> [Claim Status] Enterprise Vendor Audit 2025</t>
  </si>
  <si>
    <t xml:space="preserve"> ERM Payment Card Data</t>
  </si>
  <si>
    <t xml:space="preserve"> [AP Automation] Enterprise Audit Data Automation &amp; Results Delivery 2026</t>
  </si>
  <si>
    <t xml:space="preserve"> [Coverage Discovery] Enterprise Vendor Audit 2026 Expansion</t>
  </si>
  <si>
    <t xml:space="preserve"> [Software Coding] Enterprise Vendor Audit 2026</t>
  </si>
  <si>
    <t xml:space="preserve"> [Global Vendors] Enterprise Middle RCM Vendors Audit 2026 Expansion</t>
  </si>
  <si>
    <t xml:space="preserve"> [Global Vendors] Enterprise Back RCM Vendors Audit 2026 Expansion</t>
  </si>
  <si>
    <t xml:space="preserve"> [Insurance Authorization] Enterprise Vendor Audit 2026</t>
  </si>
  <si>
    <t xml:space="preserve"> Frictionless - OR Logs Sample Data and RTE Sample Data</t>
  </si>
  <si>
    <t xml:space="preserve"> Payor / Claim Status for Availity ID and Waystar ID</t>
  </si>
  <si>
    <t xml:space="preserve"> Expansion beyond MVP (to be refined)</t>
  </si>
  <si>
    <t xml:space="preserve"> [Coverage Discovery] Enterprise Vendor Audit 2025</t>
  </si>
  <si>
    <t xml:space="preserve"> [Global] Enterprise Middle RCM Vendors Audit 2025</t>
  </si>
  <si>
    <t xml:space="preserve"> [AP Automation] Enterprise Audit Data Automation &amp; Result</t>
  </si>
  <si>
    <t xml:space="preserve"> [Global] Enterprise Back RCM Vendors Audit 2025</t>
  </si>
  <si>
    <t xml:space="preserve"> [Global] Enterprise Front RCM Vendors Audit 2025</t>
  </si>
  <si>
    <t xml:space="preserve"> Self Pay Epic Artiva - Scale migrate clients to pull from the lake</t>
  </si>
  <si>
    <t xml:space="preserve"> 835 Remit Data/Denial</t>
  </si>
  <si>
    <t xml:space="preserve"> Physician Leakage Reporting</t>
  </si>
  <si>
    <t xml:space="preserve"> Clinical Data Acquisition</t>
  </si>
  <si>
    <t xml:space="preserve"> Enterprise - Standardized Payer Plan</t>
  </si>
  <si>
    <t xml:space="preserve"> Billing Other Clearing House</t>
  </si>
  <si>
    <t xml:space="preserve"> Coding - DDS Solventum Historical and Comparative Coding</t>
  </si>
  <si>
    <t xml:space="preserve"> Undistributed amounts, Guarantor Notes, Patient Contact and Comms, Third Party Liability, Payment Plans</t>
  </si>
  <si>
    <t xml:space="preserve"> Clinical (Flat) and Clinical (FHIR)</t>
  </si>
  <si>
    <t xml:space="preserve"> Master Specs (Data Mastering) - Q4 2025 Spec Release and Spec Rollout</t>
  </si>
  <si>
    <t xml:space="preserve"> Payor Status - PRC response</t>
  </si>
  <si>
    <t xml:space="preserve"> Visit / Encounter - ADT (HL7) to Lake</t>
  </si>
  <si>
    <t xml:space="preserve"> Vendor Audit - Patient Access (Access Health) and Coding (contingent vendor AGS)</t>
  </si>
  <si>
    <t xml:space="preserve"> Financial / Transaction - Pre-Ensemble ATB</t>
  </si>
  <si>
    <t xml:space="preserve"> AR Agent MVP for Get Claim Status, Get Eligibility Status, Get Remits, Get Medical Records, Get Coverage Data, Upload Itemized Bills</t>
  </si>
  <si>
    <t xml:space="preserve"> EDI processing migration to Azure</t>
  </si>
  <si>
    <t xml:space="preserve"> New client implementation of FHIR APIs as clients onboard </t>
  </si>
  <si>
    <t xml:space="preserve"> Add remove reorder insurance. Submit Insurance FHIR API for coverage change criteria validation</t>
  </si>
  <si>
    <t xml:space="preserve"> New client onboarding</t>
  </si>
  <si>
    <t xml:space="preserve"> Vendor implementations (onboarding legacy vendors for all new clients)</t>
  </si>
  <si>
    <t xml:space="preserve"> Assessments Service for 835/837 analysis (ad hoc)</t>
  </si>
  <si>
    <t xml:space="preserve"> Cerner/Nordic integration (put on hold for a few months - refining scope)</t>
  </si>
  <si>
    <t xml:space="preserve"> New client onboarding (very little bandwidth or BDD)</t>
  </si>
  <si>
    <t xml:space="preserve"> [Patient Statements &amp; Digital Payments] Enterprise Vendor Audit 2025</t>
  </si>
  <si>
    <t xml:space="preserve"> [Bad Debt] Enterprise Vendors Audit 2025</t>
  </si>
  <si>
    <t xml:space="preserve"> Client-Facing Reporting</t>
  </si>
  <si>
    <t xml:space="preserve"> Lift Calculation Automation (6 of 12)</t>
  </si>
  <si>
    <t xml:space="preserve"> Data platform (AOP 2024)</t>
  </si>
  <si>
    <t xml:space="preserve"> Ensemble Platform (AOP 2024)</t>
  </si>
  <si>
    <t xml:space="preserve"> Operation Management System (OMS)</t>
  </si>
  <si>
    <t xml:space="preserve"> Vendor Ingestion Hub</t>
  </si>
  <si>
    <t xml:space="preserve"> Cerner Integration FMC - Fairfield</t>
  </si>
  <si>
    <t xml:space="preserve"> Predictive analytics for estimate accuracy per CPT/payor</t>
  </si>
  <si>
    <t xml:space="preserve"> Medical Necessity/Medical Policy</t>
  </si>
  <si>
    <t xml:space="preserve"> CPT Mismatch/Amended Auth WQs</t>
  </si>
  <si>
    <t xml:space="preserve"> All Payer Medical Necessity/Medical Policy</t>
  </si>
  <si>
    <t xml:space="preserve"> Red/Green Light worklist</t>
  </si>
  <si>
    <t xml:space="preserve"> AI risk scoring to prevent authorization denials.</t>
  </si>
  <si>
    <t xml:space="preserve"> Optimize CDM</t>
  </si>
  <si>
    <t xml:space="preserve"> Inpatient Med Nec Denials</t>
  </si>
  <si>
    <t xml:space="preserve"> Policy changes</t>
  </si>
  <si>
    <t xml:space="preserve"> CPT analysis</t>
  </si>
  <si>
    <t xml:space="preserve"> Clear action log of cancelled Auth</t>
  </si>
  <si>
    <t xml:space="preserve"> Post notes to benefits tab back to host</t>
  </si>
  <si>
    <t xml:space="preserve"> Standardized PreRegistration Inventory Assignment Rules</t>
  </si>
  <si>
    <t xml:space="preserve"> QA Automation (Reg QA)</t>
  </si>
  <si>
    <t xml:space="preserve"> CDI Query Copilot</t>
  </si>
  <si>
    <t xml:space="preserve"> Coding denial reasoning</t>
  </si>
  <si>
    <t xml:space="preserve"> Outpatient Med Nec Denials</t>
  </si>
  <si>
    <t xml:space="preserve"> Meditech Integration pilot</t>
  </si>
  <si>
    <t xml:space="preserve"> Note wizard to Auto clear Epic encounters</t>
  </si>
  <si>
    <t xml:space="preserve"> eMPA Compatibility</t>
  </si>
  <si>
    <t xml:space="preserve"> Enhanced pre-auth - Authorization Service Line Expansion (fill encounter type data set)</t>
  </si>
  <si>
    <t xml:space="preserve"> Assignment disposition reason tracking</t>
  </si>
  <si>
    <t xml:space="preserve"> Visual of estimate status for worklist indicator (auto created vs auto finalized)</t>
  </si>
  <si>
    <t xml:space="preserve"> NSA/Self Pay Inventory Assignment Rules</t>
  </si>
  <si>
    <t xml:space="preserve"> Lift Calculation Automation: Point of Service (POS) Collections as % of Total Patient Cash Collections</t>
  </si>
  <si>
    <t xml:space="preserve"> COB</t>
  </si>
  <si>
    <t xml:space="preserve"> Clinical Data FHIR MAR, flowsheets</t>
  </si>
  <si>
    <t xml:space="preserve"> Link missing Epic Referrals</t>
  </si>
  <si>
    <t xml:space="preserve"> Bluemark Insurance Discovery Day 1</t>
  </si>
  <si>
    <t xml:space="preserve"> Bluemark IP Auth BIA Workflow</t>
  </si>
  <si>
    <t xml:space="preserve"> P2P / PARO Waystar intergration</t>
  </si>
  <si>
    <t xml:space="preserve"> Coverage discovery integration - Waystar</t>
  </si>
  <si>
    <t xml:space="preserve"> Auth risk scoring</t>
  </si>
  <si>
    <t xml:space="preserve"> DRG</t>
  </si>
  <si>
    <t xml:space="preserve"> DRG - Additional improvements</t>
  </si>
  <si>
    <t xml:space="preserve"> Ensuite productivity dashboard</t>
  </si>
  <si>
    <t xml:space="preserve"> Cerner Integration pilot with Nicklaus</t>
  </si>
  <si>
    <t xml:space="preserve"> Clinical Data FHIR documents and Lab Connections</t>
  </si>
  <si>
    <t xml:space="preserve"> Surgical pathology clinical viewer</t>
  </si>
  <si>
    <t xml:space="preserve"> Assignment reassessment change rules values</t>
  </si>
  <si>
    <t xml:space="preserve"> Assign action logs to Epic</t>
  </si>
  <si>
    <t xml:space="preserve"> Connect standardized rules</t>
  </si>
  <si>
    <t xml:space="preserve"> Enhanced Auth/Cert surgery referrals</t>
  </si>
  <si>
    <t xml:space="preserve"> DOS/POS Corrections</t>
  </si>
  <si>
    <t xml:space="preserve"> Update provider information into Epic</t>
  </si>
  <si>
    <t xml:space="preserve"> Add modifiers for claim and DOS/POS Corrections</t>
  </si>
  <si>
    <t xml:space="preserve"> Download host Host documentation</t>
  </si>
  <si>
    <t xml:space="preserve"> Upload to host documentation</t>
  </si>
  <si>
    <t xml:space="preserve"> Submit corrected claim for host after denial resolution</t>
  </si>
  <si>
    <t xml:space="preserve"> Demographic updates (Finvi)</t>
  </si>
  <si>
    <t xml:space="preserve"> Insurance updates (Finvi + Others)</t>
  </si>
  <si>
    <t xml:space="preserve"> Obtain Epic medical records via Epic ADR</t>
  </si>
  <si>
    <t xml:space="preserve"> PB notes integration</t>
  </si>
  <si>
    <t xml:space="preserve"> Outbound AI call bots for patient payments (Pre-Access and Customer Service)</t>
  </si>
  <si>
    <t xml:space="preserve"> Improve patient engagement and patient financial yield</t>
  </si>
  <si>
    <t xml:space="preserve"> Balance Inquiry - Improve Patient ID success by adding prompts for better accuracy</t>
  </si>
  <si>
    <t xml:space="preserve"> Balance Inquiry - Balance inquiry user experience improvements</t>
  </si>
  <si>
    <t xml:space="preserve"> Payor agent hold with Infinitus</t>
  </si>
  <si>
    <t xml:space="preserve"> Patient Access -Medicaid/charity eligibility screening - calls only</t>
  </si>
  <si>
    <t xml:space="preserve"> Patient Access - Insurance Verification</t>
  </si>
  <si>
    <t xml:space="preserve"> Patient Access - Demographics Verification</t>
  </si>
  <si>
    <t xml:space="preserve"> Patient Access - Auto scheduling</t>
  </si>
  <si>
    <t xml:space="preserve"> Patient engagement for Non-Epic</t>
  </si>
  <si>
    <t xml:space="preserve"> Welcome Kiosk</t>
  </si>
  <si>
    <t xml:space="preserve"> Hello Patient Mobile Arrivals</t>
  </si>
  <si>
    <t xml:space="preserve"> ED Self Registration</t>
  </si>
  <si>
    <t xml:space="preserve"> Dialer / Text Campaign</t>
  </si>
  <si>
    <t xml:space="preserve"> eCheck-In with Integrated Payment Plans</t>
  </si>
  <si>
    <t xml:space="preserve"> Hello World - Direct/open scheduling (General)</t>
  </si>
  <si>
    <t xml:space="preserve"> Direct/open scheduling (Mammography)</t>
  </si>
  <si>
    <t xml:space="preserve"> Ticket scheduling (Ultrasound, CT/MRI)</t>
  </si>
  <si>
    <t xml:space="preserve"> Vyne - Enterprise Faxing</t>
  </si>
  <si>
    <t xml:space="preserve"> Nordic / BSMH - Direct/open scheduling, visit type standardization, SMS reminders</t>
  </si>
  <si>
    <t xml:space="preserve"> Nordic / BSMH - Mammography scheduling - screening template config, departmental scope, mychart scheduling</t>
  </si>
  <si>
    <t xml:space="preserve"> Nordic / BSMH - Ticket scheduling (CT/MRI) - ticketing logic, Epic reporting integration</t>
  </si>
  <si>
    <t xml:space="preserve"> Automating delivery of itemized bills for patients</t>
  </si>
  <si>
    <t xml:space="preserve"> Balance Inquiry - Provide balance with Account Number as input</t>
  </si>
  <si>
    <t xml:space="preserve"> Balance Inquiry - Provide balance with Date of Service as input</t>
  </si>
  <si>
    <t xml:space="preserve"> Balance Inquiry - Provide balance with Denial Information</t>
  </si>
  <si>
    <t xml:space="preserve"> Patient ID for all CSR and Scheduling</t>
  </si>
  <si>
    <t xml:space="preserve"> Deploy Five9 Agent Assist to Auto‑Generate Call Summaries</t>
  </si>
  <si>
    <t xml:space="preserve"> Modeling the revenue impact from CDM pricing changes</t>
  </si>
  <si>
    <t xml:space="preserve"> Scenario modeling</t>
  </si>
  <si>
    <t xml:space="preserve"> Important and analyze statistical data from hospital systems </t>
  </si>
  <si>
    <t xml:space="preserve"> Import and analyze hospital GL data including payroll, vendor, and financial statements</t>
  </si>
  <si>
    <t xml:space="preserve"> Ability to recreate cost report worksheets </t>
  </si>
  <si>
    <t xml:space="preserve"> Standard cost report queries and parameter tweaking (device costs, uncompensated care, cost to charge ratios, wages, etc.)</t>
  </si>
  <si>
    <t xml:space="preserve"> Ability to create scenarios for cost report worksheets</t>
  </si>
  <si>
    <t xml:space="preserve"> Calculate impact of cost report changes on weights and reimbursement</t>
  </si>
  <si>
    <t xml:space="preserve"> Correspondence through SSI</t>
  </si>
  <si>
    <t xml:space="preserve"> Automated self-pay account trial balances</t>
  </si>
  <si>
    <t xml:space="preserve"> HCC, Risk Adjustment &amp; Population Health Point Solution</t>
  </si>
  <si>
    <t xml:space="preserve"> Submit ED Downgrades and RFIs</t>
  </si>
  <si>
    <t xml:space="preserve"> Payor agent hold</t>
  </si>
  <si>
    <t xml:space="preserve"> Develop a workflow to manage contract management updates</t>
  </si>
  <si>
    <t xml:space="preserve"> Bad Debt Workflow Automation</t>
  </si>
  <si>
    <t xml:space="preserve"> Automated credit adjustments to income</t>
  </si>
  <si>
    <t xml:space="preserve"> Automated credit overpayment letters</t>
  </si>
  <si>
    <t xml:space="preserve"> Improve PLB workflow and automation</t>
  </si>
  <si>
    <t xml:space="preserve"> Insurance Verification for Accident Claims</t>
  </si>
  <si>
    <t xml:space="preserve"> Agent for payer portals to maintain ERA/EFT setups</t>
  </si>
  <si>
    <t xml:space="preserve"> Agent for payer portals to maintain ERA/EFT setups and 835 Enrollment (CommerceBank)</t>
  </si>
  <si>
    <t xml:space="preserve"> Reduce Host Pod actions through Epic integration: Coverage changes, adjustments, insurance card, and move balance</t>
  </si>
  <si>
    <t xml:space="preserve"> Create a CDM module as a part of EIQ Integrity that contains synced copies of client CDMs</t>
  </si>
  <si>
    <t xml:space="preserve"> Agent for unbilled scorecard with commentary</t>
  </si>
  <si>
    <t xml:space="preserve"> Zelis workflow automation</t>
  </si>
  <si>
    <t xml:space="preserve"> Audit Compliance - Automate monthly client reports</t>
  </si>
  <si>
    <t xml:space="preserve"> Audit process automation IR hand off to owning team thru submission</t>
  </si>
  <si>
    <t xml:space="preserve"> Contract management calculations - Tricare IPPS</t>
  </si>
  <si>
    <t xml:space="preserve"> Workflow for CDM update requests </t>
  </si>
  <si>
    <t xml:space="preserve"> Agent for QA to select top 20 accounts per biller and perform QA</t>
  </si>
  <si>
    <t xml:space="preserve"> Lockbox OCR enrollment automation agent  (CommerceBank)</t>
  </si>
  <si>
    <t xml:space="preserve"> Contract management calculations - Tricare OPPS</t>
  </si>
  <si>
    <t xml:space="preserve"> EIQ Collect</t>
  </si>
  <si>
    <t xml:space="preserve"> Automate creation of action logs for accounts that need documentation via payer portal (PWK)</t>
  </si>
  <si>
    <t xml:space="preserve"> Cash Recon Zero Pay reconciliation</t>
  </si>
  <si>
    <t xml:space="preserve"> Contract management calculations - MCR SNF</t>
  </si>
  <si>
    <t xml:space="preserve"> CDM updates to be pushed from EIQ Integrity to client EMRs </t>
  </si>
  <si>
    <t xml:space="preserve"> EIQ Collect (PRO)</t>
  </si>
  <si>
    <t xml:space="preserve"> Automate creation of action logs on accounts that qualify for conditional billing</t>
  </si>
  <si>
    <t xml:space="preserve"> Virtual credit card workflow automation (CommerceBank)</t>
  </si>
  <si>
    <t xml:space="preserve"> Lift Calculation Automation: Initial Denials and Medicaid Third Party Conversion</t>
  </si>
  <si>
    <t xml:space="preserve"> Contract management calculations - MCRIRF</t>
  </si>
  <si>
    <t xml:space="preserve"> Appeal Automation into PRC</t>
  </si>
  <si>
    <t xml:space="preserve"> Automate creation of action logs on accounts that qualify for interim billing</t>
  </si>
  <si>
    <t xml:space="preserve"> Self-Service Configuration for Operations</t>
  </si>
  <si>
    <t xml:space="preserve"> Contract management calculations - State MCD EAPG OP</t>
  </si>
  <si>
    <t xml:space="preserve"> Tag clearinghouse report that flags all claims</t>
  </si>
  <si>
    <t xml:space="preserve"> Automated Underpayment Appeal Creation and Submission</t>
  </si>
  <si>
    <t xml:space="preserve"> Contract management calculations - Transplants</t>
  </si>
  <si>
    <t xml:space="preserve"> Automated rebill for non-epic sites with RPA</t>
  </si>
  <si>
    <t xml:space="preserve"> Automate Insights for Self-Pay Account Management</t>
  </si>
  <si>
    <t xml:space="preserve"> Prioritization</t>
  </si>
  <si>
    <t xml:space="preserve"> Automate Bad Debt Account Reconciliation</t>
  </si>
  <si>
    <t xml:space="preserve"> AI Contract Loading</t>
  </si>
  <si>
    <t xml:space="preserve"> Auto-Documentation Create Rules for Document Requests Only</t>
  </si>
  <si>
    <t xml:space="preserve"> Automatically export and load terms and pricing from raw contracts in the contract management module</t>
  </si>
  <si>
    <t xml:space="preserve"> Use a reasoning model to review variances to determine true or false variances </t>
  </si>
  <si>
    <t xml:space="preserve"> Use a reasoning model to determine the root cause of the variance</t>
  </si>
  <si>
    <t xml:space="preserve"> Use the reasoning model to compare payments against contractual and policy terms</t>
  </si>
  <si>
    <t xml:space="preserve"> Use a reasoning model to review zero balance accounts for errors not commonly caught by contract management engines</t>
  </si>
  <si>
    <t xml:space="preserve"> Make available clinical information - Underpayments</t>
  </si>
  <si>
    <t xml:space="preserve"> Allow clinical records to be queried for certain data elements - Underpayments</t>
  </si>
  <si>
    <t xml:space="preserve"> Auto-generate appeal letters - Underpayments</t>
  </si>
  <si>
    <t xml:space="preserve"> CDI Prioritization Worklist Module for EIQ Integrity</t>
  </si>
  <si>
    <t xml:space="preserve"> Environment Setup for Legacy Data Migration and Testing</t>
  </si>
  <si>
    <t xml:space="preserve"> Refine governance structure</t>
  </si>
  <si>
    <t xml:space="preserve"> Standardize Status Code Tables</t>
  </si>
  <si>
    <t xml:space="preserve"> Standardize Work Queue Logic</t>
  </si>
  <si>
    <t xml:space="preserve"> Merge [X] Hospitals into Combined Pool</t>
  </si>
  <si>
    <t xml:space="preserve"> Payer Mapping Standardization</t>
  </si>
  <si>
    <t xml:space="preserve"> Simplify reporting and denial code logic</t>
  </si>
  <si>
    <t xml:space="preserve"> EOB submission to secondary payer</t>
  </si>
  <si>
    <t xml:space="preserve"> Resolve aged, no response - Acute</t>
  </si>
  <si>
    <t xml:space="preserve"> Identify and correct remittance errors using charge file</t>
  </si>
  <si>
    <t xml:space="preserve"> Contract Management Tool Enhancements</t>
  </si>
  <si>
    <t xml:space="preserve"> Automate client CDM updates </t>
  </si>
  <si>
    <t xml:space="preserve"> AR Agent Implementation </t>
  </si>
  <si>
    <t xml:space="preserve"> Billing Inventory Management Dashboard - Unbilled, ADR, RTP, Rejections, Inventory</t>
  </si>
  <si>
    <t xml:space="preserve"> Automatically Submit Medical Records Received from Epic ADR to Payers</t>
  </si>
  <si>
    <t xml:space="preserve"> Submit RFI requested documentation based on denial prediction</t>
  </si>
  <si>
    <t xml:space="preserve"> Auto match credit card payments</t>
  </si>
  <si>
    <t xml:space="preserve"> Automate Next level provider appeal and show appeal history</t>
  </si>
  <si>
    <t xml:space="preserve"> Contract management calculations - CAH</t>
  </si>
  <si>
    <t xml:space="preserve"> Identify missing CC/MCC using LLM</t>
  </si>
  <si>
    <t xml:space="preserve"> Billing Inventory Management - Automated EDI Balancing</t>
  </si>
  <si>
    <t xml:space="preserve"> Replace Datavant Action Log with New API and Update Reporting</t>
  </si>
  <si>
    <t xml:space="preserve"> Resolve technical denials</t>
  </si>
  <si>
    <t xml:space="preserve"> Document acquistion for appeal packets</t>
  </si>
  <si>
    <t xml:space="preserve"> Contract management calculations - State MCD APR-DRG IP</t>
  </si>
  <si>
    <t xml:space="preserve"> Lift Calculation Automation: CDI Validation, Code Change Impact (PRC), and Coding Validation (PRC)</t>
  </si>
  <si>
    <t xml:space="preserve"> Automatically Identify &amp; Update Denial Adjustments at Gross Charges for Epic Clients</t>
  </si>
  <si>
    <t xml:space="preserve"> Payor agent hold - underpayments</t>
  </si>
  <si>
    <t xml:space="preserve"> Retrieve audit request and create audit record</t>
  </si>
  <si>
    <t xml:space="preserve"> PRC Underpayment WF Tool</t>
  </si>
  <si>
    <t xml:space="preserve"> Auto Adjust Balance if no Additional Payment After Appeal</t>
  </si>
  <si>
    <t xml:space="preserve"> Underpayments - streamline research of accounts that need follow-up</t>
  </si>
  <si>
    <t xml:space="preserve"> Auto-Adjust Remaining Balance on Accounts with Appeals Filed</t>
  </si>
  <si>
    <t xml:space="preserve"> Automate Confirmation Audit was received</t>
  </si>
  <si>
    <t xml:space="preserve"> Automate the Identification and Closure of Appeals with No Payment for Over 90 Days</t>
  </si>
  <si>
    <t xml:space="preserve"> Appeal Audits when upheld</t>
  </si>
  <si>
    <t xml:space="preserve"> Auto Update Appeal Status for Availity Payors</t>
  </si>
  <si>
    <t xml:space="preserve"> Outpatient Integrity Functionality</t>
  </si>
  <si>
    <t xml:space="preserve"> Automate Creation of Appeal Record and Autopopulate</t>
  </si>
  <si>
    <t xml:space="preserve"> Define Enterprise-wide Epic standardization of claim edits and account activities</t>
  </si>
  <si>
    <t xml:space="preserve"> Reduce non-value touches by Epic billers</t>
  </si>
  <si>
    <t xml:space="preserve"> RFI/ ED Downgrade analytics</t>
  </si>
  <si>
    <t xml:space="preserve"> Automated submission of RFI data</t>
  </si>
  <si>
    <t xml:space="preserve"> Automated appeal for ED downgrade</t>
  </si>
  <si>
    <t xml:space="preserve"> Automated appeal low balance clinical denials</t>
  </si>
  <si>
    <t xml:space="preserve"> Recover unsubmitted ED downgrades revenue</t>
  </si>
  <si>
    <t xml:space="preserve"> Resolve insurance paid, no denials</t>
  </si>
  <si>
    <t xml:space="preserve"> Offsetting transaction resolution</t>
  </si>
  <si>
    <t xml:space="preserve"> Automate cash posting processing errors</t>
  </si>
  <si>
    <t xml:space="preserve"> Cash posting error reason and recommendation</t>
  </si>
  <si>
    <t xml:space="preserve">  Automated retrieval of missing remit</t>
  </si>
  <si>
    <t xml:space="preserve"> Cash posting error reports</t>
  </si>
  <si>
    <t xml:space="preserve"> Cash recon performance enhancements</t>
  </si>
  <si>
    <t xml:space="preserve"> Clearing account and non-patient cash reporting</t>
  </si>
  <si>
    <t xml:space="preserve"> Lockbox Lift | 835 Conversion | Vendor Implementation (CommerceBank)</t>
  </si>
  <si>
    <t xml:space="preserve"> Automation for daily cash reconciliation</t>
  </si>
  <si>
    <t xml:space="preserve"> Acute credit overpayment letter notification</t>
  </si>
  <si>
    <t xml:space="preserve"> Appeal strength calculator</t>
  </si>
  <si>
    <t xml:space="preserve"> Max allowable adjustment</t>
  </si>
  <si>
    <t xml:space="preserve"> Underpayments/CM rules engine optimization</t>
  </si>
  <si>
    <t xml:space="preserve"> DDS Reporting</t>
  </si>
  <si>
    <t xml:space="preserve"> Platform modernization for DRG-V</t>
  </si>
  <si>
    <t xml:space="preserve"> Integrate with Solventum for DRG-V Point Solution</t>
  </si>
  <si>
    <t xml:space="preserve"> EIQ Collect: Claim Status (PRC)</t>
  </si>
  <si>
    <t xml:space="preserve"> Resolve denied PRC accounts</t>
  </si>
  <si>
    <t xml:space="preserve"> Resolve aged, no response - PRC</t>
  </si>
  <si>
    <t xml:space="preserve"> Billing Inventory Management</t>
  </si>
  <si>
    <t xml:space="preserve"> Define Enterprise-wide standardization of claim edits and account activities</t>
  </si>
  <si>
    <t xml:space="preserve"> Claim Status (Acute)</t>
  </si>
  <si>
    <t xml:space="preserve"> Enable offshore Epic work</t>
  </si>
  <si>
    <t xml:space="preserve"> Develop additional integrity functionality</t>
  </si>
  <si>
    <t>Milestone Start</t>
  </si>
  <si>
    <t>Milestone End</t>
  </si>
  <si>
    <t>L3</t>
  </si>
  <si>
    <t>L4</t>
  </si>
  <si>
    <t>CT Number</t>
  </si>
  <si>
    <t>Project ID</t>
  </si>
  <si>
    <t>TBU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</si>
</sst>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7" x14ac:knownFonts="1">
    <font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333CC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Roboto Light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0" borderId="0"/>
    <xf numFmtId="9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/>
    <xf numFmtId="0" fontId="4" fillId="0" borderId="0"/>
    <xf numFmtId="0" fontId="15" fillId="0" borderId="0"/>
    <xf numFmtId="9" fontId="15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9" fontId="0" fillId="0" borderId="0" xfId="2" applyFont="1" applyAlignment="1">
      <alignment horizontal="right"/>
    </xf>
    <xf numFmtId="164" fontId="0" fillId="3" borderId="0" xfId="0" applyNumberFormat="1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9" fontId="0" fillId="3" borderId="0" xfId="2" applyFont="1" applyFill="1" applyAlignment="1">
      <alignment horizontal="right"/>
    </xf>
    <xf numFmtId="14" fontId="0" fillId="3" borderId="0" xfId="0" applyNumberFormat="1" applyFill="1"/>
    <xf numFmtId="9" fontId="0" fillId="0" borderId="0" xfId="2" applyFont="1" applyFill="1" applyAlignment="1">
      <alignment horizontal="right"/>
    </xf>
    <xf numFmtId="9" fontId="0" fillId="0" borderId="0" xfId="0" applyNumberFormat="1" applyAlignment="1">
      <alignment horizontal="right"/>
    </xf>
    <xf numFmtId="9" fontId="1" fillId="2" borderId="0" xfId="0" applyNumberFormat="1" applyFont="1" applyFill="1" applyAlignment="1">
      <alignment vertical="center" wrapText="1"/>
    </xf>
    <xf numFmtId="9" fontId="0" fillId="0" borderId="0" xfId="0" applyNumberFormat="1"/>
    <xf numFmtId="9" fontId="0" fillId="3" borderId="0" xfId="0" applyNumberFormat="1" applyFill="1" applyAlignment="1">
      <alignment horizontal="right"/>
    </xf>
    <xf numFmtId="3" fontId="1" fillId="2" borderId="0" xfId="0" applyNumberFormat="1" applyFont="1" applyFill="1" applyAlignment="1">
      <alignment horizontal="center" vertical="center" wrapText="1"/>
    </xf>
    <xf numFmtId="3" fontId="0" fillId="3" borderId="0" xfId="0" applyNumberFormat="1" applyFill="1" applyAlignment="1">
      <alignment horizontal="right"/>
    </xf>
    <xf numFmtId="3" fontId="0" fillId="0" borderId="0" xfId="0" applyNumberFormat="1"/>
    <xf numFmtId="6" fontId="0" fillId="0" borderId="0" xfId="2" applyNumberFormat="1" applyFont="1" applyFill="1" applyAlignment="1">
      <alignment horizontal="right"/>
    </xf>
    <xf numFmtId="14" fontId="1" fillId="2" borderId="0" xfId="0" applyNumberFormat="1" applyFont="1" applyFill="1" applyAlignment="1">
      <alignment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14" fontId="0" fillId="4" borderId="0" xfId="0" applyNumberFormat="1" applyFill="1"/>
    <xf numFmtId="1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right"/>
    </xf>
    <xf numFmtId="9" fontId="0" fillId="4" borderId="0" xfId="2" applyFont="1" applyFill="1" applyAlignment="1">
      <alignment horizontal="right"/>
    </xf>
    <xf numFmtId="3" fontId="0" fillId="4" borderId="0" xfId="0" applyNumberFormat="1" applyFill="1" applyAlignment="1">
      <alignment horizontal="right"/>
    </xf>
    <xf numFmtId="9" fontId="0" fillId="4" borderId="0" xfId="0" applyNumberFormat="1" applyFill="1" applyAlignment="1">
      <alignment horizontal="right"/>
    </xf>
    <xf numFmtId="14" fontId="9" fillId="0" borderId="0" xfId="0" applyNumberFormat="1" applyFont="1"/>
    <xf numFmtId="164" fontId="9" fillId="0" borderId="0" xfId="0" applyNumberFormat="1" applyFont="1" applyAlignment="1">
      <alignment horizontal="right"/>
    </xf>
    <xf numFmtId="14" fontId="11" fillId="0" borderId="0" xfId="0" applyNumberFormat="1" applyFont="1"/>
    <xf numFmtId="0" fontId="10" fillId="0" borderId="0" xfId="0" applyFont="1"/>
    <xf numFmtId="14" fontId="5" fillId="3" borderId="0" xfId="0" applyNumberFormat="1" applyFont="1" applyFill="1"/>
    <xf numFmtId="1" fontId="0" fillId="0" borderId="0" xfId="0" applyNumberFormat="1" applyAlignment="1">
      <alignment horizontal="right"/>
    </xf>
    <xf numFmtId="0" fontId="13" fillId="0" borderId="0" xfId="3"/>
    <xf numFmtId="164" fontId="9" fillId="3" borderId="0" xfId="0" applyNumberFormat="1" applyFont="1" applyFill="1" applyAlignment="1">
      <alignment horizontal="right"/>
    </xf>
    <xf numFmtId="14" fontId="12" fillId="0" borderId="0" xfId="0" applyNumberFormat="1" applyFont="1"/>
    <xf numFmtId="14" fontId="0" fillId="5" borderId="0" xfId="0" applyNumberFormat="1" applyFill="1"/>
    <xf numFmtId="6" fontId="0" fillId="3" borderId="0" xfId="2" applyNumberFormat="1" applyFont="1" applyFill="1" applyAlignment="1">
      <alignment horizontal="right"/>
    </xf>
    <xf numFmtId="14" fontId="5" fillId="0" borderId="0" xfId="0" applyNumberFormat="1" applyFont="1"/>
  </cellXfs>
  <cellStyles count="8">
    <cellStyle name="Hyperlink" xfId="3" builtinId="8"/>
    <cellStyle name="Normal" xfId="0" builtinId="0"/>
    <cellStyle name="Normal 2" xfId="4" xr:uid="{EBB26B8B-467E-441C-915B-BE284430AAA2}"/>
    <cellStyle name="Normal 2 8" xfId="5" xr:uid="{5A8BE970-B457-40BC-AF5C-4532605C06E2}"/>
    <cellStyle name="Normal 3" xfId="1" xr:uid="{779911BF-9FA1-4F4D-8F15-25D057F37809}"/>
    <cellStyle name="Normal 4" xfId="6" xr:uid="{6ECE090B-EF55-4028-9618-950313279B3F}"/>
    <cellStyle name="Percent" xfId="2" builtinId="5"/>
    <cellStyle name="Percent 2" xfId="7" xr:uid="{FCD59750-30FE-4DC5-AEB1-91E7F62845F3}"/>
  </cellStyles>
  <dxfs count="0"/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illy View" id="{9E8A20F2-93C7-4ED5-95F8-00686AA4FC68}"/>
  <namedSheetView name="Celia View - Lift, VUR, CM &amp; UP" id="{ECBF75D9-5751-4EC0-BBC5-6F66DF5C3B43}"/>
  <namedSheetView name="Devdatta View" id="{9E1E2EC9-F82C-4F22-A8D4-3B49E670EF0B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B9F7-C0EE-DB4E-9531-A28A78219B0D}">
  <dimension ref="A1:Y340"/>
  <sheetViews>
    <sheetView tabSelected="1" topLeftCell="B1" zoomScaleNormal="100" workbookViewId="0">
      <selection activeCell="AC16" sqref="AC16"/>
    </sheetView>
  </sheetViews>
  <sheetFormatPr baseColWidth="10" defaultColWidth="8.6640625" defaultRowHeight="15" outlineLevelCol="1" x14ac:dyDescent="0.2"/>
  <cols>
    <col min="1" max="1" width="17.5" customWidth="1"/>
    <col min="2" max="2" width="15.1640625" bestFit="1" customWidth="1"/>
    <col min="3" max="3" width="38.83203125" customWidth="1"/>
    <col min="4" max="4" width="23.6640625" customWidth="1"/>
    <col min="5" max="5" width="74.83203125" customWidth="1"/>
    <col min="6" max="7" width="15.5" style="10" customWidth="1"/>
    <col min="8" max="8" width="31.5" style="3" customWidth="1"/>
    <col min="9" max="9" width="17.5" customWidth="1"/>
    <col min="10" max="10" width="20.6640625" style="2" customWidth="1"/>
    <col min="11" max="11" width="24.83203125" customWidth="1"/>
    <col min="12" max="12" width="8.6640625" style="31" customWidth="1" outlineLevel="1"/>
    <col min="13" max="13" width="8.6640625" customWidth="1" outlineLevel="1"/>
    <col min="14" max="14" width="17.5" customWidth="1" outlineLevel="1"/>
    <col min="15" max="15" width="15.6640625" customWidth="1" outlineLevel="1" collapsed="1"/>
    <col min="16" max="17" width="14.6640625" customWidth="1"/>
    <col min="18" max="18" width="18.5" style="27" customWidth="1"/>
    <col min="19" max="20" width="20.5" style="27" customWidth="1"/>
    <col min="21" max="22" width="21" customWidth="1"/>
    <col min="23" max="23" width="21.5" style="23" customWidth="1"/>
    <col min="24" max="24" width="28" style="23" customWidth="1"/>
    <col min="25" max="25" width="17" customWidth="1"/>
  </cols>
  <sheetData>
    <row r="1" spans="1:25" ht="32.5" customHeight="1" x14ac:dyDescent="0.2">
      <c r="A1" s="5" t="s">
        <v>949</v>
      </c>
      <c r="B1" s="5" t="s">
        <v>1</v>
      </c>
      <c r="C1" s="5" t="s">
        <v>2</v>
      </c>
      <c r="D1" s="5" t="s">
        <v>517</v>
      </c>
      <c r="E1" s="5" t="s">
        <v>623</v>
      </c>
      <c r="F1" s="29" t="s">
        <v>945</v>
      </c>
      <c r="G1" s="29" t="s">
        <v>946</v>
      </c>
      <c r="H1" s="6" t="s">
        <v>622</v>
      </c>
      <c r="I1" s="5" t="s">
        <v>3</v>
      </c>
      <c r="J1" s="7" t="s">
        <v>4</v>
      </c>
      <c r="K1" s="5" t="s">
        <v>620</v>
      </c>
      <c r="L1" s="30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25" t="s">
        <v>14</v>
      </c>
      <c r="S1" s="25" t="s">
        <v>15</v>
      </c>
      <c r="T1" s="25" t="s">
        <v>16</v>
      </c>
      <c r="U1" s="5" t="s">
        <v>17</v>
      </c>
      <c r="V1" s="5" t="s">
        <v>18</v>
      </c>
      <c r="W1" s="22" t="s">
        <v>19</v>
      </c>
      <c r="X1" s="22" t="s">
        <v>20</v>
      </c>
      <c r="Y1" s="22" t="s">
        <v>950</v>
      </c>
    </row>
    <row r="2" spans="1:25" s="8" customFormat="1" x14ac:dyDescent="0.2">
      <c r="A2" t="s">
        <v>370</v>
      </c>
      <c r="B2" t="s">
        <v>23</v>
      </c>
      <c r="C2" t="s">
        <v>175</v>
      </c>
      <c r="D2" t="s">
        <v>149</v>
      </c>
      <c r="E2" t="s">
        <v>818</v>
      </c>
      <c r="F2" s="10"/>
      <c r="G2" s="10"/>
      <c r="H2" s="3" t="s">
        <v>288</v>
      </c>
      <c r="I2" t="s">
        <v>182</v>
      </c>
      <c r="J2" s="2" t="s">
        <v>30</v>
      </c>
      <c r="K2" s="45" t="s">
        <v>317</v>
      </c>
      <c r="L2" s="31"/>
      <c r="M2"/>
      <c r="N2"/>
      <c r="O2" s="12">
        <v>0</v>
      </c>
      <c r="P2" s="12">
        <v>329979.80463243998</v>
      </c>
      <c r="Q2" s="13" t="s">
        <v>95</v>
      </c>
      <c r="R2" s="11">
        <v>6</v>
      </c>
      <c r="S2" s="11">
        <v>124</v>
      </c>
      <c r="T2" s="12">
        <v>329979.80463243998</v>
      </c>
      <c r="U2" s="12">
        <v>6599596</v>
      </c>
      <c r="V2" s="12">
        <v>6269616.1953675598</v>
      </c>
      <c r="W2" s="13">
        <v>4.8387096774193547E-2</v>
      </c>
      <c r="X2" s="23">
        <v>9.9719987627590101E-2</v>
      </c>
      <c r="Y2" t="s">
        <v>53</v>
      </c>
    </row>
    <row r="3" spans="1:25" x14ac:dyDescent="0.2">
      <c r="A3" t="s">
        <v>338</v>
      </c>
      <c r="B3" t="s">
        <v>23</v>
      </c>
      <c r="C3" t="s">
        <v>175</v>
      </c>
      <c r="D3" t="s">
        <v>339</v>
      </c>
      <c r="E3" t="s">
        <v>819</v>
      </c>
      <c r="F3" s="19"/>
      <c r="G3" s="19"/>
      <c r="H3" s="3" t="s">
        <v>100</v>
      </c>
      <c r="I3" t="s">
        <v>182</v>
      </c>
      <c r="J3" s="2" t="s">
        <v>30</v>
      </c>
      <c r="K3" t="s">
        <v>317</v>
      </c>
      <c r="L3" s="32"/>
      <c r="M3" s="15"/>
      <c r="O3" s="12">
        <v>0</v>
      </c>
      <c r="P3" s="12">
        <v>3875316.1152388249</v>
      </c>
      <c r="Q3" s="20" t="s">
        <v>95</v>
      </c>
      <c r="R3" s="11">
        <v>70</v>
      </c>
      <c r="S3" s="11">
        <v>94</v>
      </c>
      <c r="T3" s="12">
        <v>3875316.1152388249</v>
      </c>
      <c r="U3" s="12">
        <v>5167088</v>
      </c>
      <c r="V3" s="12">
        <v>1291771.8847611751</v>
      </c>
      <c r="W3" s="21">
        <v>0.74468085106382975</v>
      </c>
      <c r="X3" s="23">
        <v>0.22734625458354665</v>
      </c>
      <c r="Y3" t="s">
        <v>68</v>
      </c>
    </row>
    <row r="4" spans="1:25" x14ac:dyDescent="0.2">
      <c r="A4" s="15" t="s">
        <v>459</v>
      </c>
      <c r="B4" s="15" t="s">
        <v>23</v>
      </c>
      <c r="C4" s="15" t="s">
        <v>175</v>
      </c>
      <c r="D4" s="15" t="s">
        <v>71</v>
      </c>
      <c r="E4" t="s">
        <v>820</v>
      </c>
      <c r="F4" s="19"/>
      <c r="G4" s="19"/>
      <c r="H4" s="16" t="s">
        <v>144</v>
      </c>
      <c r="I4" s="15" t="s">
        <v>182</v>
      </c>
      <c r="J4" s="2" t="s">
        <v>30</v>
      </c>
      <c r="K4" s="15" t="s">
        <v>317</v>
      </c>
      <c r="L4" s="32"/>
      <c r="M4" s="15"/>
      <c r="N4" s="15"/>
      <c r="O4" s="14">
        <v>0</v>
      </c>
      <c r="P4" s="14" t="s">
        <v>951</v>
      </c>
      <c r="Q4" s="52">
        <v>0</v>
      </c>
      <c r="R4" s="26" t="s">
        <v>95</v>
      </c>
      <c r="S4" s="26" t="s">
        <v>95</v>
      </c>
      <c r="T4" s="14" t="s">
        <v>95</v>
      </c>
      <c r="U4" s="14" t="s">
        <v>95</v>
      </c>
      <c r="V4" s="14" t="s">
        <v>95</v>
      </c>
      <c r="W4" s="24" t="s">
        <v>95</v>
      </c>
      <c r="X4" s="24">
        <v>0.54879953085814948</v>
      </c>
      <c r="Y4" t="s">
        <v>69</v>
      </c>
    </row>
    <row r="5" spans="1:25" x14ac:dyDescent="0.2">
      <c r="B5" t="s">
        <v>23</v>
      </c>
      <c r="C5" t="s">
        <v>203</v>
      </c>
      <c r="D5" t="s">
        <v>129</v>
      </c>
      <c r="E5" t="s">
        <v>728</v>
      </c>
      <c r="H5" s="3" t="s">
        <v>137</v>
      </c>
      <c r="I5" t="s">
        <v>200</v>
      </c>
      <c r="J5" s="2" t="s">
        <v>30</v>
      </c>
      <c r="K5" t="s">
        <v>519</v>
      </c>
      <c r="O5" s="12">
        <v>0</v>
      </c>
      <c r="P5" s="12" t="s">
        <v>951</v>
      </c>
      <c r="Q5" s="20" t="s">
        <v>95</v>
      </c>
      <c r="R5" s="11" t="s">
        <v>95</v>
      </c>
      <c r="S5" s="11" t="s">
        <v>95</v>
      </c>
      <c r="T5" s="12" t="s">
        <v>95</v>
      </c>
      <c r="U5" s="12" t="s">
        <v>95</v>
      </c>
      <c r="V5" s="12" t="s">
        <v>95</v>
      </c>
      <c r="W5" s="21" t="s">
        <v>95</v>
      </c>
      <c r="X5" s="21">
        <v>0.27608748713747122</v>
      </c>
      <c r="Y5" t="s">
        <v>72</v>
      </c>
    </row>
    <row r="6" spans="1:25" x14ac:dyDescent="0.2">
      <c r="B6" t="s">
        <v>23</v>
      </c>
      <c r="C6" t="s">
        <v>203</v>
      </c>
      <c r="D6" t="s">
        <v>129</v>
      </c>
      <c r="E6" t="s">
        <v>729</v>
      </c>
      <c r="H6" s="3" t="s">
        <v>137</v>
      </c>
      <c r="I6" t="s">
        <v>200</v>
      </c>
      <c r="J6" s="2" t="s">
        <v>30</v>
      </c>
      <c r="K6" t="s">
        <v>519</v>
      </c>
      <c r="M6" t="s">
        <v>57</v>
      </c>
      <c r="N6" t="s">
        <v>256</v>
      </c>
      <c r="O6" s="12">
        <v>770953.69</v>
      </c>
      <c r="P6" s="12" t="s">
        <v>951</v>
      </c>
      <c r="Q6" s="20" t="s">
        <v>95</v>
      </c>
      <c r="R6" s="11" t="s">
        <v>95</v>
      </c>
      <c r="S6" s="11" t="s">
        <v>95</v>
      </c>
      <c r="T6" s="12" t="s">
        <v>95</v>
      </c>
      <c r="U6" s="12" t="s">
        <v>95</v>
      </c>
      <c r="V6" s="12" t="s">
        <v>95</v>
      </c>
      <c r="W6" s="21" t="s">
        <v>95</v>
      </c>
      <c r="X6" s="21">
        <v>0.27608748713747122</v>
      </c>
      <c r="Y6" t="s">
        <v>73</v>
      </c>
    </row>
    <row r="7" spans="1:25" x14ac:dyDescent="0.2">
      <c r="B7" t="s">
        <v>23</v>
      </c>
      <c r="C7" t="s">
        <v>203</v>
      </c>
      <c r="D7" t="s">
        <v>129</v>
      </c>
      <c r="E7" t="s">
        <v>730</v>
      </c>
      <c r="H7" s="3" t="s">
        <v>137</v>
      </c>
      <c r="I7" t="s">
        <v>200</v>
      </c>
      <c r="J7" s="2" t="s">
        <v>30</v>
      </c>
      <c r="K7" t="s">
        <v>519</v>
      </c>
      <c r="M7" t="s">
        <v>61</v>
      </c>
      <c r="N7" t="s">
        <v>258</v>
      </c>
      <c r="O7" s="12">
        <v>1156430.54</v>
      </c>
      <c r="P7" s="12" t="s">
        <v>951</v>
      </c>
      <c r="Q7" s="20" t="s">
        <v>95</v>
      </c>
      <c r="R7" s="11" t="s">
        <v>95</v>
      </c>
      <c r="S7" s="11" t="s">
        <v>95</v>
      </c>
      <c r="T7" s="12" t="s">
        <v>95</v>
      </c>
      <c r="U7" s="12" t="s">
        <v>95</v>
      </c>
      <c r="V7" s="12" t="s">
        <v>95</v>
      </c>
      <c r="W7" s="21" t="s">
        <v>95</v>
      </c>
      <c r="X7" s="21">
        <v>0.27608748713747122</v>
      </c>
      <c r="Y7" t="s">
        <v>74</v>
      </c>
    </row>
    <row r="8" spans="1:25" x14ac:dyDescent="0.2">
      <c r="B8" t="s">
        <v>23</v>
      </c>
      <c r="C8" t="s">
        <v>203</v>
      </c>
      <c r="D8" t="s">
        <v>129</v>
      </c>
      <c r="E8" t="s">
        <v>731</v>
      </c>
      <c r="H8" s="3" t="s">
        <v>137</v>
      </c>
      <c r="I8" t="s">
        <v>200</v>
      </c>
      <c r="J8" s="2" t="s">
        <v>30</v>
      </c>
      <c r="K8" t="s">
        <v>519</v>
      </c>
      <c r="N8" t="s">
        <v>262</v>
      </c>
      <c r="O8" s="12">
        <v>0</v>
      </c>
      <c r="P8" s="12" t="s">
        <v>951</v>
      </c>
      <c r="Q8" s="20" t="s">
        <v>95</v>
      </c>
      <c r="R8" s="11" t="s">
        <v>95</v>
      </c>
      <c r="S8" s="11" t="s">
        <v>95</v>
      </c>
      <c r="T8" s="12" t="s">
        <v>95</v>
      </c>
      <c r="U8" s="12" t="s">
        <v>95</v>
      </c>
      <c r="V8" s="12" t="s">
        <v>95</v>
      </c>
      <c r="W8" s="21" t="s">
        <v>95</v>
      </c>
      <c r="X8" s="21">
        <v>0.27608748713747122</v>
      </c>
      <c r="Y8" t="s">
        <v>75</v>
      </c>
    </row>
    <row r="9" spans="1:25" x14ac:dyDescent="0.2">
      <c r="B9" t="s">
        <v>23</v>
      </c>
      <c r="C9" t="s">
        <v>203</v>
      </c>
      <c r="D9" t="s">
        <v>129</v>
      </c>
      <c r="E9" t="s">
        <v>732</v>
      </c>
      <c r="H9" s="3" t="s">
        <v>137</v>
      </c>
      <c r="I9" t="s">
        <v>200</v>
      </c>
      <c r="J9" s="2" t="s">
        <v>30</v>
      </c>
      <c r="K9" t="s">
        <v>519</v>
      </c>
      <c r="N9" t="s">
        <v>264</v>
      </c>
      <c r="O9" s="12">
        <v>0</v>
      </c>
      <c r="P9" s="12" t="s">
        <v>951</v>
      </c>
      <c r="Q9" s="20" t="s">
        <v>95</v>
      </c>
      <c r="R9" s="11" t="s">
        <v>95</v>
      </c>
      <c r="S9" s="11" t="s">
        <v>95</v>
      </c>
      <c r="T9" s="12" t="s">
        <v>95</v>
      </c>
      <c r="U9" s="12" t="s">
        <v>95</v>
      </c>
      <c r="V9" s="12" t="s">
        <v>95</v>
      </c>
      <c r="W9" s="21" t="s">
        <v>95</v>
      </c>
      <c r="X9" s="21">
        <v>0.27608748713747122</v>
      </c>
      <c r="Y9" t="s">
        <v>76</v>
      </c>
    </row>
    <row r="10" spans="1:25" x14ac:dyDescent="0.2">
      <c r="B10" t="s">
        <v>23</v>
      </c>
      <c r="C10" t="s">
        <v>203</v>
      </c>
      <c r="D10" t="s">
        <v>129</v>
      </c>
      <c r="E10" t="s">
        <v>733</v>
      </c>
      <c r="H10" s="3" t="s">
        <v>137</v>
      </c>
      <c r="I10" t="s">
        <v>200</v>
      </c>
      <c r="J10" s="2" t="s">
        <v>30</v>
      </c>
      <c r="K10" t="s">
        <v>519</v>
      </c>
      <c r="N10" t="s">
        <v>266</v>
      </c>
      <c r="O10" s="12">
        <v>0</v>
      </c>
      <c r="P10" s="12" t="s">
        <v>951</v>
      </c>
      <c r="Q10" s="20" t="s">
        <v>95</v>
      </c>
      <c r="R10" s="11" t="s">
        <v>95</v>
      </c>
      <c r="S10" s="11" t="s">
        <v>95</v>
      </c>
      <c r="T10" s="12" t="s">
        <v>95</v>
      </c>
      <c r="U10" s="12" t="s">
        <v>95</v>
      </c>
      <c r="V10" s="12" t="s">
        <v>95</v>
      </c>
      <c r="W10" s="21" t="s">
        <v>95</v>
      </c>
      <c r="X10" s="21">
        <v>0.27608748713747122</v>
      </c>
      <c r="Y10" t="s">
        <v>78</v>
      </c>
    </row>
    <row r="11" spans="1:25" x14ac:dyDescent="0.2">
      <c r="B11" t="s">
        <v>23</v>
      </c>
      <c r="C11" t="s">
        <v>203</v>
      </c>
      <c r="D11" t="s">
        <v>129</v>
      </c>
      <c r="E11" t="s">
        <v>734</v>
      </c>
      <c r="H11" s="3" t="s">
        <v>139</v>
      </c>
      <c r="I11" t="s">
        <v>200</v>
      </c>
      <c r="J11" s="2" t="s">
        <v>30</v>
      </c>
      <c r="K11" t="s">
        <v>519</v>
      </c>
      <c r="L11" s="31">
        <v>0</v>
      </c>
      <c r="O11" s="12">
        <v>0</v>
      </c>
      <c r="P11" s="12" t="s">
        <v>951</v>
      </c>
      <c r="Q11" s="13" t="s">
        <v>95</v>
      </c>
      <c r="R11" s="11" t="s">
        <v>95</v>
      </c>
      <c r="S11" s="11" t="s">
        <v>95</v>
      </c>
      <c r="T11" s="12" t="s">
        <v>95</v>
      </c>
      <c r="U11" s="12" t="s">
        <v>95</v>
      </c>
      <c r="V11" s="12" t="s">
        <v>95</v>
      </c>
      <c r="W11" s="21" t="s">
        <v>95</v>
      </c>
      <c r="X11" s="21">
        <v>0.44084891187851694</v>
      </c>
      <c r="Y11" t="s">
        <v>79</v>
      </c>
    </row>
    <row r="12" spans="1:25" x14ac:dyDescent="0.2">
      <c r="B12" t="s">
        <v>210</v>
      </c>
      <c r="C12" t="s">
        <v>203</v>
      </c>
      <c r="D12" t="s">
        <v>211</v>
      </c>
      <c r="E12" t="s">
        <v>735</v>
      </c>
      <c r="H12" s="3" t="s">
        <v>43</v>
      </c>
      <c r="I12" t="s">
        <v>200</v>
      </c>
      <c r="J12" s="2" t="s">
        <v>30</v>
      </c>
      <c r="K12" t="s">
        <v>519</v>
      </c>
      <c r="O12" s="12">
        <v>0</v>
      </c>
      <c r="P12" s="12" t="s">
        <v>951</v>
      </c>
      <c r="Q12" s="20" t="s">
        <v>95</v>
      </c>
      <c r="R12" s="11" t="s">
        <v>95</v>
      </c>
      <c r="S12" s="11" t="s">
        <v>95</v>
      </c>
      <c r="T12" s="12" t="s">
        <v>95</v>
      </c>
      <c r="U12" s="12" t="s">
        <v>95</v>
      </c>
      <c r="V12" s="12" t="s">
        <v>95</v>
      </c>
      <c r="W12" s="21" t="s">
        <v>95</v>
      </c>
      <c r="X12" s="21">
        <v>0.34650362996126405</v>
      </c>
      <c r="Y12" t="s">
        <v>39</v>
      </c>
    </row>
    <row r="13" spans="1:25" x14ac:dyDescent="0.2">
      <c r="B13" t="s">
        <v>97</v>
      </c>
      <c r="C13" t="s">
        <v>609</v>
      </c>
      <c r="D13" t="s">
        <v>609</v>
      </c>
      <c r="E13" t="s">
        <v>772</v>
      </c>
      <c r="F13" s="10" t="s">
        <v>179</v>
      </c>
      <c r="G13" s="10" t="s">
        <v>179</v>
      </c>
      <c r="H13" s="3" t="s">
        <v>139</v>
      </c>
      <c r="I13" t="s">
        <v>200</v>
      </c>
      <c r="J13" s="2" t="s">
        <v>30</v>
      </c>
      <c r="K13" t="s">
        <v>519</v>
      </c>
      <c r="M13" t="s">
        <v>61</v>
      </c>
      <c r="O13" s="12">
        <v>1156430.54</v>
      </c>
      <c r="P13" s="12" t="s">
        <v>951</v>
      </c>
      <c r="Q13" s="20" t="s">
        <v>95</v>
      </c>
      <c r="R13" s="11" t="s">
        <v>95</v>
      </c>
      <c r="S13" s="11" t="s">
        <v>95</v>
      </c>
      <c r="T13" s="12" t="s">
        <v>95</v>
      </c>
      <c r="U13" s="12" t="s">
        <v>95</v>
      </c>
      <c r="V13" s="12" t="s">
        <v>95</v>
      </c>
      <c r="W13" s="21" t="s">
        <v>95</v>
      </c>
      <c r="X13" s="21">
        <v>0.44084891187851694</v>
      </c>
      <c r="Y13" t="s">
        <v>58</v>
      </c>
    </row>
    <row r="14" spans="1:25" x14ac:dyDescent="0.2">
      <c r="A14" t="s">
        <v>611</v>
      </c>
      <c r="B14" t="s">
        <v>97</v>
      </c>
      <c r="C14" t="s">
        <v>609</v>
      </c>
      <c r="D14" t="s">
        <v>609</v>
      </c>
      <c r="E14" t="s">
        <v>773</v>
      </c>
      <c r="F14" s="10" t="s">
        <v>179</v>
      </c>
      <c r="G14" s="10" t="s">
        <v>179</v>
      </c>
      <c r="H14" s="3" t="s">
        <v>139</v>
      </c>
      <c r="I14" t="s">
        <v>200</v>
      </c>
      <c r="J14" s="2" t="s">
        <v>30</v>
      </c>
      <c r="K14" t="s">
        <v>519</v>
      </c>
      <c r="M14" t="s">
        <v>61</v>
      </c>
      <c r="O14" s="12">
        <v>1156430.54</v>
      </c>
      <c r="P14" s="12" t="s">
        <v>951</v>
      </c>
      <c r="Q14" s="20" t="s">
        <v>95</v>
      </c>
      <c r="R14" s="11" t="s">
        <v>95</v>
      </c>
      <c r="S14" s="11" t="s">
        <v>95</v>
      </c>
      <c r="T14" s="12" t="s">
        <v>95</v>
      </c>
      <c r="U14" s="12" t="s">
        <v>95</v>
      </c>
      <c r="V14" s="12" t="s">
        <v>95</v>
      </c>
      <c r="W14" s="21" t="s">
        <v>95</v>
      </c>
      <c r="X14" s="21">
        <v>0.44084891187851694</v>
      </c>
      <c r="Y14" t="s">
        <v>81</v>
      </c>
    </row>
    <row r="15" spans="1:25" x14ac:dyDescent="0.2">
      <c r="A15" t="s">
        <v>66</v>
      </c>
      <c r="B15" t="s">
        <v>23</v>
      </c>
      <c r="C15" t="s">
        <v>175</v>
      </c>
      <c r="D15" t="s">
        <v>326</v>
      </c>
      <c r="E15" t="s">
        <v>821</v>
      </c>
      <c r="H15" s="3" t="s">
        <v>139</v>
      </c>
      <c r="I15" t="s">
        <v>200</v>
      </c>
      <c r="J15" s="2" t="s">
        <v>30</v>
      </c>
      <c r="K15" t="s">
        <v>519</v>
      </c>
      <c r="O15" s="12">
        <v>95833.333333333328</v>
      </c>
      <c r="P15" s="12">
        <v>783030.68283454294</v>
      </c>
      <c r="Q15" s="13">
        <v>7.1707549513169697</v>
      </c>
      <c r="R15" s="11">
        <v>8</v>
      </c>
      <c r="S15" s="11">
        <v>41</v>
      </c>
      <c r="T15" s="12">
        <v>472881.34950120962</v>
      </c>
      <c r="U15" s="12">
        <v>2364407</v>
      </c>
      <c r="V15" s="12">
        <v>1891525.6504987904</v>
      </c>
      <c r="W15" s="13">
        <v>0.1951219512195122</v>
      </c>
      <c r="X15" s="23">
        <v>0.44084891187851694</v>
      </c>
      <c r="Y15" t="s">
        <v>89</v>
      </c>
    </row>
    <row r="16" spans="1:25" x14ac:dyDescent="0.2">
      <c r="B16" t="s">
        <v>23</v>
      </c>
      <c r="C16" t="s">
        <v>175</v>
      </c>
      <c r="D16" t="s">
        <v>339</v>
      </c>
      <c r="E16" t="s">
        <v>822</v>
      </c>
      <c r="F16" s="19"/>
      <c r="G16" s="19"/>
      <c r="H16" s="3" t="s">
        <v>139</v>
      </c>
      <c r="I16" t="s">
        <v>200</v>
      </c>
      <c r="J16" s="2" t="s">
        <v>30</v>
      </c>
      <c r="K16" t="s">
        <v>519</v>
      </c>
      <c r="L16" s="32"/>
      <c r="M16" s="15"/>
      <c r="O16" s="12">
        <v>0</v>
      </c>
      <c r="P16" s="12" t="s">
        <v>951</v>
      </c>
      <c r="Q16" s="20" t="s">
        <v>95</v>
      </c>
      <c r="R16" s="11" t="s">
        <v>95</v>
      </c>
      <c r="S16" s="11" t="s">
        <v>95</v>
      </c>
      <c r="T16" s="12" t="s">
        <v>95</v>
      </c>
      <c r="U16" s="12" t="s">
        <v>95</v>
      </c>
      <c r="V16" s="12" t="s">
        <v>95</v>
      </c>
      <c r="W16" s="13" t="s">
        <v>95</v>
      </c>
      <c r="X16" s="23">
        <v>0.44084891187851694</v>
      </c>
      <c r="Y16" t="s">
        <v>59</v>
      </c>
    </row>
    <row r="17" spans="1:25" x14ac:dyDescent="0.2">
      <c r="A17" s="15" t="s">
        <v>437</v>
      </c>
      <c r="B17" t="s">
        <v>131</v>
      </c>
      <c r="C17" t="s">
        <v>175</v>
      </c>
      <c r="D17" t="s">
        <v>395</v>
      </c>
      <c r="E17" t="s">
        <v>823</v>
      </c>
      <c r="H17" s="3" t="s">
        <v>67</v>
      </c>
      <c r="I17" t="s">
        <v>200</v>
      </c>
      <c r="J17" s="2" t="s">
        <v>30</v>
      </c>
      <c r="K17" t="s">
        <v>519</v>
      </c>
      <c r="O17" s="12">
        <v>0</v>
      </c>
      <c r="P17" s="12">
        <v>683020.1733629863</v>
      </c>
      <c r="Q17" s="20" t="s">
        <v>95</v>
      </c>
      <c r="R17" s="11">
        <v>8</v>
      </c>
      <c r="S17" s="11">
        <v>77</v>
      </c>
      <c r="T17" s="12">
        <v>683020.1733629863</v>
      </c>
      <c r="U17" s="12">
        <v>6830202</v>
      </c>
      <c r="V17" s="12">
        <v>6147181.8266370138</v>
      </c>
      <c r="W17" s="21">
        <v>0.1038961038961039</v>
      </c>
      <c r="X17" s="21">
        <v>9.8881276226545273E-2</v>
      </c>
      <c r="Y17" t="s">
        <v>64</v>
      </c>
    </row>
    <row r="18" spans="1:25" x14ac:dyDescent="0.2">
      <c r="A18" t="s">
        <v>336</v>
      </c>
      <c r="B18" t="s">
        <v>23</v>
      </c>
      <c r="C18" t="s">
        <v>175</v>
      </c>
      <c r="D18" t="s">
        <v>149</v>
      </c>
      <c r="E18" t="s">
        <v>824</v>
      </c>
      <c r="F18" s="19"/>
      <c r="G18" s="19"/>
      <c r="H18" s="3" t="s">
        <v>100</v>
      </c>
      <c r="I18" t="s">
        <v>200</v>
      </c>
      <c r="J18" s="2" t="s">
        <v>30</v>
      </c>
      <c r="K18" t="s">
        <v>519</v>
      </c>
      <c r="L18" s="32"/>
      <c r="O18" s="12">
        <v>0</v>
      </c>
      <c r="P18" s="12">
        <v>3097717.7076487909</v>
      </c>
      <c r="Q18" s="20" t="s">
        <v>95</v>
      </c>
      <c r="R18" s="11">
        <v>56</v>
      </c>
      <c r="S18" s="11">
        <v>75</v>
      </c>
      <c r="T18" s="12">
        <v>3097717.7076487909</v>
      </c>
      <c r="U18" s="12">
        <v>4130290</v>
      </c>
      <c r="V18" s="12">
        <v>1032572.2923512091</v>
      </c>
      <c r="W18" s="21">
        <v>0.7466666666666667</v>
      </c>
      <c r="X18" s="21">
        <v>0.22734625458354665</v>
      </c>
      <c r="Y18" t="s">
        <v>31</v>
      </c>
    </row>
    <row r="19" spans="1:25" x14ac:dyDescent="0.2">
      <c r="A19" t="s">
        <v>66</v>
      </c>
      <c r="B19" t="s">
        <v>23</v>
      </c>
      <c r="C19" t="s">
        <v>24</v>
      </c>
      <c r="D19" t="s">
        <v>41</v>
      </c>
      <c r="E19" t="s">
        <v>624</v>
      </c>
      <c r="F19" s="10">
        <v>46388</v>
      </c>
      <c r="G19" s="10">
        <v>46477</v>
      </c>
      <c r="H19" s="3" t="s">
        <v>67</v>
      </c>
      <c r="I19" t="s">
        <v>38</v>
      </c>
      <c r="J19" s="2">
        <v>5</v>
      </c>
      <c r="K19" t="s">
        <v>606</v>
      </c>
      <c r="L19" s="31">
        <v>2.9666666666666668</v>
      </c>
      <c r="M19" t="s">
        <v>49</v>
      </c>
      <c r="N19" t="s">
        <v>68</v>
      </c>
      <c r="O19" s="12">
        <v>481310.18333333329</v>
      </c>
      <c r="P19" s="12">
        <v>783030.68283454294</v>
      </c>
      <c r="Q19" s="13">
        <v>0.62687329283505289</v>
      </c>
      <c r="R19" s="11">
        <v>8</v>
      </c>
      <c r="S19" s="11">
        <v>41</v>
      </c>
      <c r="T19" s="12">
        <v>472881.34950120962</v>
      </c>
      <c r="U19" s="12">
        <v>2364407</v>
      </c>
      <c r="V19" s="12">
        <v>1891525.6504987904</v>
      </c>
      <c r="W19" s="13">
        <v>0.1951219512195122</v>
      </c>
      <c r="X19" s="21">
        <v>9.8881276226545273E-2</v>
      </c>
      <c r="Y19" t="s">
        <v>34</v>
      </c>
    </row>
    <row r="20" spans="1:25" x14ac:dyDescent="0.2">
      <c r="A20" t="s">
        <v>69</v>
      </c>
      <c r="B20" t="s">
        <v>23</v>
      </c>
      <c r="C20" t="s">
        <v>24</v>
      </c>
      <c r="D20" t="s">
        <v>41</v>
      </c>
      <c r="E20" t="s">
        <v>625</v>
      </c>
      <c r="F20" s="10">
        <v>46478</v>
      </c>
      <c r="G20" s="10">
        <v>46568</v>
      </c>
      <c r="H20" s="3" t="s">
        <v>70</v>
      </c>
      <c r="I20" t="s">
        <v>38</v>
      </c>
      <c r="J20" s="2">
        <v>6</v>
      </c>
      <c r="K20" t="s">
        <v>606</v>
      </c>
      <c r="L20" s="31">
        <v>3</v>
      </c>
      <c r="M20" t="s">
        <v>49</v>
      </c>
      <c r="O20" s="12">
        <v>385476.85</v>
      </c>
      <c r="P20" s="12" t="s">
        <v>951</v>
      </c>
      <c r="Q20" s="13" t="s">
        <v>95</v>
      </c>
      <c r="R20" s="11" t="s">
        <v>95</v>
      </c>
      <c r="S20" s="11" t="s">
        <v>95</v>
      </c>
      <c r="T20" s="12" t="s">
        <v>95</v>
      </c>
      <c r="U20" s="12" t="s">
        <v>95</v>
      </c>
      <c r="V20" s="12" t="s">
        <v>95</v>
      </c>
      <c r="W20" s="13" t="s">
        <v>95</v>
      </c>
      <c r="X20" s="21" t="s">
        <v>95</v>
      </c>
      <c r="Y20" t="s">
        <v>36</v>
      </c>
    </row>
    <row r="21" spans="1:25" x14ac:dyDescent="0.2">
      <c r="B21" t="s">
        <v>23</v>
      </c>
      <c r="C21" t="s">
        <v>24</v>
      </c>
      <c r="D21" t="s">
        <v>41</v>
      </c>
      <c r="E21" t="s">
        <v>626</v>
      </c>
      <c r="F21" s="10">
        <v>47300</v>
      </c>
      <c r="G21" s="10">
        <v>47391</v>
      </c>
      <c r="H21" s="3" t="s">
        <v>27</v>
      </c>
      <c r="I21" t="s">
        <v>38</v>
      </c>
      <c r="J21" s="2">
        <v>6</v>
      </c>
      <c r="K21" t="s">
        <v>606</v>
      </c>
      <c r="L21" s="31">
        <v>3.0333333333333332</v>
      </c>
      <c r="M21" t="s">
        <v>49</v>
      </c>
      <c r="N21" t="s">
        <v>72</v>
      </c>
      <c r="O21" s="12">
        <v>385476.85</v>
      </c>
      <c r="P21" s="12" t="s">
        <v>951</v>
      </c>
      <c r="Q21" s="20" t="s">
        <v>95</v>
      </c>
      <c r="R21" s="11" t="s">
        <v>95</v>
      </c>
      <c r="S21" s="11" t="s">
        <v>95</v>
      </c>
      <c r="T21" s="12" t="s">
        <v>95</v>
      </c>
      <c r="U21" s="12" t="s">
        <v>95</v>
      </c>
      <c r="V21" s="12" t="s">
        <v>95</v>
      </c>
      <c r="W21" s="20" t="s">
        <v>95</v>
      </c>
      <c r="X21" s="21">
        <v>0.22048781761400371</v>
      </c>
      <c r="Y21" t="s">
        <v>610</v>
      </c>
    </row>
    <row r="22" spans="1:25" x14ac:dyDescent="0.2">
      <c r="B22" t="s">
        <v>23</v>
      </c>
      <c r="C22" t="s">
        <v>24</v>
      </c>
      <c r="D22" t="s">
        <v>41</v>
      </c>
      <c r="E22" t="s">
        <v>627</v>
      </c>
      <c r="F22" s="10">
        <v>47392</v>
      </c>
      <c r="G22" s="10">
        <v>47483</v>
      </c>
      <c r="H22" s="3" t="s">
        <v>27</v>
      </c>
      <c r="I22" t="s">
        <v>38</v>
      </c>
      <c r="J22" s="2">
        <v>7</v>
      </c>
      <c r="K22" t="s">
        <v>606</v>
      </c>
      <c r="L22" s="31">
        <v>3.0333333333333332</v>
      </c>
      <c r="M22" t="s">
        <v>49</v>
      </c>
      <c r="N22" t="s">
        <v>73</v>
      </c>
      <c r="O22" s="12">
        <v>385476.85</v>
      </c>
      <c r="P22" s="12" t="s">
        <v>951</v>
      </c>
      <c r="Q22" s="20" t="s">
        <v>95</v>
      </c>
      <c r="R22" s="11" t="s">
        <v>95</v>
      </c>
      <c r="S22" s="11" t="s">
        <v>95</v>
      </c>
      <c r="T22" s="12" t="s">
        <v>95</v>
      </c>
      <c r="U22" s="12" t="s">
        <v>95</v>
      </c>
      <c r="V22" s="12" t="s">
        <v>95</v>
      </c>
      <c r="W22" s="20" t="s">
        <v>95</v>
      </c>
      <c r="X22" s="21">
        <v>0.22048781761400371</v>
      </c>
      <c r="Y22" t="s">
        <v>37</v>
      </c>
    </row>
    <row r="23" spans="1:25" x14ac:dyDescent="0.2">
      <c r="B23" t="s">
        <v>23</v>
      </c>
      <c r="C23" t="s">
        <v>24</v>
      </c>
      <c r="D23" t="s">
        <v>41</v>
      </c>
      <c r="E23" t="s">
        <v>628</v>
      </c>
      <c r="F23" s="10">
        <v>47484</v>
      </c>
      <c r="G23" s="10">
        <v>47573</v>
      </c>
      <c r="H23" s="3" t="s">
        <v>27</v>
      </c>
      <c r="I23" t="s">
        <v>38</v>
      </c>
      <c r="J23" s="2">
        <v>8</v>
      </c>
      <c r="K23" t="s">
        <v>606</v>
      </c>
      <c r="L23" s="31">
        <v>2.9666666666666668</v>
      </c>
      <c r="M23" t="s">
        <v>49</v>
      </c>
      <c r="N23" t="s">
        <v>74</v>
      </c>
      <c r="O23" s="12">
        <v>385476.85</v>
      </c>
      <c r="P23" s="12" t="s">
        <v>951</v>
      </c>
      <c r="Q23" s="20" t="s">
        <v>95</v>
      </c>
      <c r="R23" s="11" t="s">
        <v>95</v>
      </c>
      <c r="S23" s="11" t="s">
        <v>95</v>
      </c>
      <c r="T23" s="12" t="s">
        <v>95</v>
      </c>
      <c r="U23" s="12" t="s">
        <v>95</v>
      </c>
      <c r="V23" s="12" t="s">
        <v>95</v>
      </c>
      <c r="W23" s="20" t="s">
        <v>95</v>
      </c>
      <c r="X23" s="21">
        <v>0.22048781761400371</v>
      </c>
      <c r="Y23" t="s">
        <v>50</v>
      </c>
    </row>
    <row r="24" spans="1:25" x14ac:dyDescent="0.2">
      <c r="B24" t="s">
        <v>23</v>
      </c>
      <c r="C24" t="s">
        <v>24</v>
      </c>
      <c r="D24" t="s">
        <v>41</v>
      </c>
      <c r="E24" t="s">
        <v>629</v>
      </c>
      <c r="F24" s="10">
        <v>47574</v>
      </c>
      <c r="G24" s="10">
        <v>47664</v>
      </c>
      <c r="H24" s="3" t="s">
        <v>27</v>
      </c>
      <c r="I24" t="s">
        <v>38</v>
      </c>
      <c r="J24" s="2">
        <v>9</v>
      </c>
      <c r="K24" t="s">
        <v>606</v>
      </c>
      <c r="L24" s="31">
        <v>3</v>
      </c>
      <c r="M24" t="s">
        <v>49</v>
      </c>
      <c r="N24" t="s">
        <v>75</v>
      </c>
      <c r="O24" s="12">
        <v>385476.85</v>
      </c>
      <c r="P24" s="12" t="s">
        <v>951</v>
      </c>
      <c r="Q24" s="20" t="s">
        <v>95</v>
      </c>
      <c r="R24" s="11" t="s">
        <v>95</v>
      </c>
      <c r="S24" s="11" t="s">
        <v>95</v>
      </c>
      <c r="T24" s="12" t="s">
        <v>95</v>
      </c>
      <c r="U24" s="12" t="s">
        <v>95</v>
      </c>
      <c r="V24" s="12" t="s">
        <v>95</v>
      </c>
      <c r="W24" s="20" t="s">
        <v>95</v>
      </c>
      <c r="X24" s="21">
        <v>0.22048781761400371</v>
      </c>
      <c r="Y24" t="s">
        <v>53</v>
      </c>
    </row>
    <row r="25" spans="1:25" x14ac:dyDescent="0.2">
      <c r="B25" t="s">
        <v>23</v>
      </c>
      <c r="C25" t="s">
        <v>24</v>
      </c>
      <c r="D25" t="s">
        <v>41</v>
      </c>
      <c r="E25" t="s">
        <v>630</v>
      </c>
      <c r="F25" s="10">
        <v>47665</v>
      </c>
      <c r="G25" s="10">
        <v>47756</v>
      </c>
      <c r="H25" s="3" t="s">
        <v>27</v>
      </c>
      <c r="I25" t="s">
        <v>38</v>
      </c>
      <c r="J25" s="2">
        <v>10</v>
      </c>
      <c r="K25" t="s">
        <v>606</v>
      </c>
      <c r="L25" s="31">
        <v>3.0333333333333332</v>
      </c>
      <c r="M25" t="s">
        <v>49</v>
      </c>
      <c r="N25" t="s">
        <v>76</v>
      </c>
      <c r="O25" s="12">
        <v>385476.85</v>
      </c>
      <c r="P25" s="12" t="s">
        <v>951</v>
      </c>
      <c r="Q25" s="20" t="s">
        <v>95</v>
      </c>
      <c r="R25" s="11" t="s">
        <v>95</v>
      </c>
      <c r="S25" s="11" t="s">
        <v>95</v>
      </c>
      <c r="T25" s="12" t="s">
        <v>95</v>
      </c>
      <c r="U25" s="12" t="s">
        <v>95</v>
      </c>
      <c r="V25" s="12" t="s">
        <v>95</v>
      </c>
      <c r="W25" s="20" t="s">
        <v>95</v>
      </c>
      <c r="X25" s="21">
        <v>0.22048781761400371</v>
      </c>
      <c r="Y25" t="s">
        <v>80</v>
      </c>
    </row>
    <row r="26" spans="1:25" x14ac:dyDescent="0.2">
      <c r="B26" t="s">
        <v>23</v>
      </c>
      <c r="C26" t="s">
        <v>24</v>
      </c>
      <c r="D26" t="s">
        <v>77</v>
      </c>
      <c r="E26" t="s">
        <v>631</v>
      </c>
      <c r="F26" s="10">
        <v>47757</v>
      </c>
      <c r="G26" s="10">
        <v>47848</v>
      </c>
      <c r="H26" s="3" t="s">
        <v>27</v>
      </c>
      <c r="I26" t="s">
        <v>38</v>
      </c>
      <c r="J26" s="2">
        <v>11</v>
      </c>
      <c r="K26" t="s">
        <v>606</v>
      </c>
      <c r="L26" s="31">
        <v>3.0333333333333332</v>
      </c>
      <c r="M26" t="s">
        <v>49</v>
      </c>
      <c r="N26" t="s">
        <v>78</v>
      </c>
      <c r="O26" s="12">
        <v>385476.85</v>
      </c>
      <c r="P26" s="12" t="s">
        <v>951</v>
      </c>
      <c r="Q26" s="20" t="s">
        <v>95</v>
      </c>
      <c r="R26" s="11" t="s">
        <v>95</v>
      </c>
      <c r="S26" s="11" t="s">
        <v>95</v>
      </c>
      <c r="T26" s="12" t="s">
        <v>95</v>
      </c>
      <c r="U26" s="12" t="s">
        <v>95</v>
      </c>
      <c r="V26" s="12" t="s">
        <v>95</v>
      </c>
      <c r="W26" s="20" t="s">
        <v>95</v>
      </c>
      <c r="X26" s="21">
        <v>0.22048781761400371</v>
      </c>
      <c r="Y26" t="s">
        <v>91</v>
      </c>
    </row>
    <row r="27" spans="1:25" x14ac:dyDescent="0.2">
      <c r="B27" t="s">
        <v>23</v>
      </c>
      <c r="C27" t="s">
        <v>24</v>
      </c>
      <c r="D27" t="s">
        <v>77</v>
      </c>
      <c r="E27" t="s">
        <v>632</v>
      </c>
      <c r="F27" s="10">
        <v>47849</v>
      </c>
      <c r="G27" s="10">
        <v>47938</v>
      </c>
      <c r="H27" s="3" t="s">
        <v>27</v>
      </c>
      <c r="I27" t="s">
        <v>38</v>
      </c>
      <c r="J27" s="2">
        <v>12</v>
      </c>
      <c r="K27" t="s">
        <v>606</v>
      </c>
      <c r="L27" s="31">
        <v>2.9666666666666668</v>
      </c>
      <c r="M27" t="s">
        <v>49</v>
      </c>
      <c r="N27" t="s">
        <v>79</v>
      </c>
      <c r="O27" s="12">
        <v>385476.85</v>
      </c>
      <c r="P27" s="12" t="s">
        <v>951</v>
      </c>
      <c r="Q27" s="20" t="s">
        <v>95</v>
      </c>
      <c r="R27" s="11" t="s">
        <v>95</v>
      </c>
      <c r="S27" s="11" t="s">
        <v>95</v>
      </c>
      <c r="T27" s="12" t="s">
        <v>95</v>
      </c>
      <c r="U27" s="12" t="s">
        <v>95</v>
      </c>
      <c r="V27" s="12" t="s">
        <v>95</v>
      </c>
      <c r="W27" s="20" t="s">
        <v>95</v>
      </c>
      <c r="X27" s="21">
        <v>0.22048781761400371</v>
      </c>
      <c r="Y27" t="s">
        <v>93</v>
      </c>
    </row>
    <row r="28" spans="1:25" x14ac:dyDescent="0.2">
      <c r="B28" t="s">
        <v>23</v>
      </c>
      <c r="C28" t="s">
        <v>24</v>
      </c>
      <c r="D28" t="s">
        <v>77</v>
      </c>
      <c r="E28" t="s">
        <v>633</v>
      </c>
      <c r="F28" s="10">
        <v>47939</v>
      </c>
      <c r="G28" s="10">
        <v>48029</v>
      </c>
      <c r="H28" s="3" t="s">
        <v>27</v>
      </c>
      <c r="I28" t="s">
        <v>38</v>
      </c>
      <c r="J28" s="2">
        <v>13</v>
      </c>
      <c r="K28" t="s">
        <v>606</v>
      </c>
      <c r="L28" s="31">
        <v>3</v>
      </c>
      <c r="M28" t="s">
        <v>49</v>
      </c>
      <c r="N28" t="s">
        <v>80</v>
      </c>
      <c r="O28" s="12">
        <v>385476.85</v>
      </c>
      <c r="P28" s="12" t="s">
        <v>951</v>
      </c>
      <c r="Q28" s="20" t="s">
        <v>95</v>
      </c>
      <c r="R28" s="11" t="s">
        <v>95</v>
      </c>
      <c r="S28" s="11" t="s">
        <v>95</v>
      </c>
      <c r="T28" s="12" t="s">
        <v>95</v>
      </c>
      <c r="U28" s="12" t="s">
        <v>95</v>
      </c>
      <c r="V28" s="12" t="s">
        <v>95</v>
      </c>
      <c r="W28" s="20" t="s">
        <v>95</v>
      </c>
      <c r="X28" s="21">
        <v>0.22048781761400371</v>
      </c>
      <c r="Y28" t="s">
        <v>93</v>
      </c>
    </row>
    <row r="29" spans="1:25" x14ac:dyDescent="0.2">
      <c r="A29" t="s">
        <v>22</v>
      </c>
      <c r="B29" t="s">
        <v>23</v>
      </c>
      <c r="C29" t="s">
        <v>24</v>
      </c>
      <c r="D29" t="s">
        <v>25</v>
      </c>
      <c r="E29" t="s">
        <v>634</v>
      </c>
      <c r="F29" s="10">
        <v>46388</v>
      </c>
      <c r="G29" s="10">
        <v>46598</v>
      </c>
      <c r="H29" s="3" t="s">
        <v>27</v>
      </c>
      <c r="I29" t="s">
        <v>38</v>
      </c>
      <c r="J29" s="2">
        <v>14</v>
      </c>
      <c r="K29" t="s">
        <v>606</v>
      </c>
      <c r="L29" s="31">
        <v>7</v>
      </c>
      <c r="N29" t="s">
        <v>39</v>
      </c>
      <c r="O29" s="12">
        <v>176875</v>
      </c>
      <c r="P29" s="12">
        <v>8257804.25</v>
      </c>
      <c r="Q29" s="13">
        <v>45.687232508833922</v>
      </c>
      <c r="R29" s="11">
        <v>119</v>
      </c>
      <c r="S29" s="11">
        <v>221</v>
      </c>
      <c r="T29" s="12">
        <v>6056095.9219958549</v>
      </c>
      <c r="U29" s="12">
        <v>11214992</v>
      </c>
      <c r="V29" s="12">
        <v>5158896.0780041451</v>
      </c>
      <c r="W29" s="13">
        <v>0.53846153846153844</v>
      </c>
      <c r="X29" s="23">
        <v>0.22048781761400371</v>
      </c>
      <c r="Y29" t="s">
        <v>46</v>
      </c>
    </row>
    <row r="30" spans="1:25" x14ac:dyDescent="0.2">
      <c r="A30" t="s">
        <v>136</v>
      </c>
      <c r="B30" t="s">
        <v>23</v>
      </c>
      <c r="C30" t="s">
        <v>106</v>
      </c>
      <c r="D30" t="s">
        <v>134</v>
      </c>
      <c r="E30" t="s">
        <v>655</v>
      </c>
      <c r="F30" s="19">
        <v>46388</v>
      </c>
      <c r="G30" s="19">
        <v>46477</v>
      </c>
      <c r="H30" s="3" t="s">
        <v>137</v>
      </c>
      <c r="I30" t="s">
        <v>38</v>
      </c>
      <c r="J30" s="2">
        <v>1</v>
      </c>
      <c r="K30" t="s">
        <v>606</v>
      </c>
      <c r="L30" s="32">
        <v>2.9666666666666668</v>
      </c>
      <c r="M30" s="15" t="s">
        <v>49</v>
      </c>
      <c r="O30" s="12">
        <v>385476.85</v>
      </c>
      <c r="P30" s="12">
        <v>973358.74422444974</v>
      </c>
      <c r="Q30" s="20">
        <v>1.5250770421737383</v>
      </c>
      <c r="R30" s="11">
        <v>17</v>
      </c>
      <c r="S30" s="11">
        <v>571</v>
      </c>
      <c r="T30" s="12">
        <v>973358.74422444974</v>
      </c>
      <c r="U30" s="12">
        <v>32445291</v>
      </c>
      <c r="V30" s="12">
        <v>31471932.255775549</v>
      </c>
      <c r="W30" s="21">
        <v>2.9772329246935202E-2</v>
      </c>
      <c r="X30" s="21">
        <v>0.27608748713747122</v>
      </c>
      <c r="Y30" t="s">
        <v>101</v>
      </c>
    </row>
    <row r="31" spans="1:25" x14ac:dyDescent="0.2">
      <c r="A31" t="s">
        <v>138</v>
      </c>
      <c r="B31" t="s">
        <v>23</v>
      </c>
      <c r="C31" t="s">
        <v>106</v>
      </c>
      <c r="D31" t="s">
        <v>134</v>
      </c>
      <c r="E31" t="s">
        <v>656</v>
      </c>
      <c r="F31" s="19">
        <v>46478</v>
      </c>
      <c r="G31" s="19">
        <v>46568</v>
      </c>
      <c r="H31" s="3" t="s">
        <v>139</v>
      </c>
      <c r="I31" t="s">
        <v>38</v>
      </c>
      <c r="J31" s="2">
        <v>2</v>
      </c>
      <c r="K31" t="s">
        <v>606</v>
      </c>
      <c r="L31" s="32">
        <v>3</v>
      </c>
      <c r="M31" s="15" t="s">
        <v>49</v>
      </c>
      <c r="O31" s="12">
        <v>385476.85</v>
      </c>
      <c r="P31" s="12">
        <v>1119982.1435554964</v>
      </c>
      <c r="Q31" s="13">
        <v>1.9054459264038721</v>
      </c>
      <c r="R31" s="11">
        <v>20</v>
      </c>
      <c r="S31" s="11">
        <v>652</v>
      </c>
      <c r="T31" s="12">
        <v>1119982.1435554964</v>
      </c>
      <c r="U31" s="12">
        <v>37332738</v>
      </c>
      <c r="V31" s="12">
        <v>36212755.8564445</v>
      </c>
      <c r="W31" s="21">
        <v>3.0674846625766871E-2</v>
      </c>
      <c r="X31" s="21">
        <v>0.44084891187851694</v>
      </c>
      <c r="Y31" t="s">
        <v>95</v>
      </c>
    </row>
    <row r="32" spans="1:25" x14ac:dyDescent="0.2">
      <c r="A32" t="s">
        <v>140</v>
      </c>
      <c r="B32" t="s">
        <v>23</v>
      </c>
      <c r="C32" t="s">
        <v>106</v>
      </c>
      <c r="D32" t="s">
        <v>134</v>
      </c>
      <c r="E32" t="s">
        <v>657</v>
      </c>
      <c r="F32" s="19">
        <v>46569</v>
      </c>
      <c r="G32" s="19">
        <v>46660</v>
      </c>
      <c r="H32" s="3" t="s">
        <v>43</v>
      </c>
      <c r="I32" t="s">
        <v>38</v>
      </c>
      <c r="J32" s="2">
        <v>3</v>
      </c>
      <c r="K32" t="s">
        <v>606</v>
      </c>
      <c r="L32" s="32">
        <v>3.0333333333333332</v>
      </c>
      <c r="M32" s="15" t="s">
        <v>49</v>
      </c>
      <c r="O32" s="12">
        <v>385476.85</v>
      </c>
      <c r="P32" s="12">
        <v>244169.42371082274</v>
      </c>
      <c r="Q32" s="13">
        <v>-0.36657824273799383</v>
      </c>
      <c r="R32" s="11">
        <v>3</v>
      </c>
      <c r="S32" s="11">
        <v>111</v>
      </c>
      <c r="T32" s="12">
        <v>244169.42371082274</v>
      </c>
      <c r="U32" s="12">
        <v>8138981</v>
      </c>
      <c r="V32" s="12">
        <v>7894811.5762891769</v>
      </c>
      <c r="W32" s="21">
        <v>2.7027027027027029E-2</v>
      </c>
      <c r="X32" s="21">
        <v>0.34650362996126405</v>
      </c>
      <c r="Y32" t="s">
        <v>94</v>
      </c>
    </row>
    <row r="33" spans="1:25" x14ac:dyDescent="0.2">
      <c r="A33" t="s">
        <v>141</v>
      </c>
      <c r="B33" t="s">
        <v>23</v>
      </c>
      <c r="C33" t="s">
        <v>106</v>
      </c>
      <c r="D33" t="s">
        <v>134</v>
      </c>
      <c r="E33" t="s">
        <v>658</v>
      </c>
      <c r="F33" s="19">
        <v>46661</v>
      </c>
      <c r="G33" s="19">
        <v>46752</v>
      </c>
      <c r="H33" s="3" t="s">
        <v>142</v>
      </c>
      <c r="I33" t="s">
        <v>38</v>
      </c>
      <c r="J33" s="2">
        <v>4</v>
      </c>
      <c r="K33" t="s">
        <v>606</v>
      </c>
      <c r="L33" s="32">
        <v>3.0333333333333332</v>
      </c>
      <c r="M33" s="15" t="s">
        <v>49</v>
      </c>
      <c r="O33" s="12">
        <v>385476.85</v>
      </c>
      <c r="P33" s="12">
        <v>162835.48683779067</v>
      </c>
      <c r="Q33" s="13">
        <v>-0.57757388845065361</v>
      </c>
      <c r="R33" s="11">
        <v>2</v>
      </c>
      <c r="S33" s="11">
        <v>80</v>
      </c>
      <c r="T33" s="12">
        <v>162835.48683779067</v>
      </c>
      <c r="U33" s="12">
        <v>5427850</v>
      </c>
      <c r="V33" s="12">
        <v>5265014.5131622097</v>
      </c>
      <c r="W33" s="21">
        <v>2.5000000000000001E-2</v>
      </c>
      <c r="X33" s="21">
        <v>0.36658831145909704</v>
      </c>
      <c r="Y33" t="s">
        <v>95</v>
      </c>
    </row>
    <row r="34" spans="1:25" x14ac:dyDescent="0.2">
      <c r="A34" t="s">
        <v>143</v>
      </c>
      <c r="B34" t="s">
        <v>23</v>
      </c>
      <c r="C34" t="s">
        <v>106</v>
      </c>
      <c r="D34" t="s">
        <v>134</v>
      </c>
      <c r="E34" t="s">
        <v>659</v>
      </c>
      <c r="F34" s="10">
        <v>46753</v>
      </c>
      <c r="G34" s="10">
        <v>46843</v>
      </c>
      <c r="H34" s="3" t="s">
        <v>144</v>
      </c>
      <c r="I34" t="s">
        <v>38</v>
      </c>
      <c r="J34" s="2">
        <v>5</v>
      </c>
      <c r="K34" t="s">
        <v>606</v>
      </c>
      <c r="L34" s="31">
        <v>3</v>
      </c>
      <c r="M34" t="s">
        <v>49</v>
      </c>
      <c r="O34" s="12">
        <v>385476.85</v>
      </c>
      <c r="P34" s="12">
        <v>452419.47610813059</v>
      </c>
      <c r="Q34" s="13">
        <v>0.17366185831426872</v>
      </c>
      <c r="R34" s="11">
        <v>6</v>
      </c>
      <c r="S34" s="11">
        <v>185</v>
      </c>
      <c r="T34" s="12">
        <v>452419.47610813059</v>
      </c>
      <c r="U34" s="12">
        <v>15080649</v>
      </c>
      <c r="V34" s="12">
        <v>14628229.52389187</v>
      </c>
      <c r="W34" s="21">
        <v>3.2432432432432434E-2</v>
      </c>
      <c r="X34" s="21">
        <v>0.54879953085814948</v>
      </c>
      <c r="Y34" t="s">
        <v>95</v>
      </c>
    </row>
    <row r="35" spans="1:25" x14ac:dyDescent="0.2">
      <c r="B35" t="s">
        <v>23</v>
      </c>
      <c r="C35" t="s">
        <v>106</v>
      </c>
      <c r="D35" t="s">
        <v>107</v>
      </c>
      <c r="E35" t="s">
        <v>660</v>
      </c>
      <c r="F35" s="10">
        <v>46388</v>
      </c>
      <c r="G35" s="10">
        <v>46508</v>
      </c>
      <c r="H35" s="3" t="s">
        <v>70</v>
      </c>
      <c r="I35" s="3" t="s">
        <v>38</v>
      </c>
      <c r="J35">
        <v>8</v>
      </c>
      <c r="K35" t="s">
        <v>606</v>
      </c>
      <c r="L35" s="31">
        <v>4</v>
      </c>
      <c r="M35" t="s">
        <v>121</v>
      </c>
      <c r="N35" t="s">
        <v>124</v>
      </c>
      <c r="O35" s="12">
        <v>192738.42</v>
      </c>
      <c r="P35" s="12" t="s">
        <v>951</v>
      </c>
      <c r="Q35" s="13" t="s">
        <v>95</v>
      </c>
      <c r="R35" s="11" t="s">
        <v>95</v>
      </c>
      <c r="S35" s="11" t="s">
        <v>95</v>
      </c>
      <c r="T35" s="12" t="s">
        <v>95</v>
      </c>
      <c r="U35" s="12" t="s">
        <v>95</v>
      </c>
      <c r="V35" s="12" t="s">
        <v>95</v>
      </c>
      <c r="W35" s="21" t="s">
        <v>95</v>
      </c>
      <c r="X35" s="21" t="s">
        <v>95</v>
      </c>
      <c r="Y35" t="s">
        <v>95</v>
      </c>
    </row>
    <row r="36" spans="1:25" x14ac:dyDescent="0.2">
      <c r="B36" t="s">
        <v>23</v>
      </c>
      <c r="C36" t="s">
        <v>106</v>
      </c>
      <c r="D36" t="s">
        <v>107</v>
      </c>
      <c r="E36" t="s">
        <v>661</v>
      </c>
      <c r="F36" s="10">
        <v>46388</v>
      </c>
      <c r="G36" s="10">
        <v>46478</v>
      </c>
      <c r="H36" s="3" t="s">
        <v>70</v>
      </c>
      <c r="I36" s="3" t="s">
        <v>38</v>
      </c>
      <c r="J36">
        <v>9</v>
      </c>
      <c r="K36" t="s">
        <v>606</v>
      </c>
      <c r="L36" s="31">
        <v>3</v>
      </c>
      <c r="M36" t="s">
        <v>49</v>
      </c>
      <c r="O36" s="12">
        <v>385476.85</v>
      </c>
      <c r="P36" s="12" t="s">
        <v>951</v>
      </c>
      <c r="Q36" s="13" t="s">
        <v>95</v>
      </c>
      <c r="R36" s="11" t="s">
        <v>95</v>
      </c>
      <c r="S36" s="11" t="s">
        <v>95</v>
      </c>
      <c r="T36" s="12" t="s">
        <v>95</v>
      </c>
      <c r="U36" s="12" t="s">
        <v>95</v>
      </c>
      <c r="V36" s="12" t="s">
        <v>95</v>
      </c>
      <c r="W36" s="21" t="s">
        <v>95</v>
      </c>
      <c r="X36" s="21" t="s">
        <v>95</v>
      </c>
      <c r="Y36" t="s">
        <v>95</v>
      </c>
    </row>
    <row r="37" spans="1:25" x14ac:dyDescent="0.2">
      <c r="B37" t="s">
        <v>23</v>
      </c>
      <c r="C37" t="s">
        <v>106</v>
      </c>
      <c r="D37" t="s">
        <v>107</v>
      </c>
      <c r="E37" t="s">
        <v>662</v>
      </c>
      <c r="F37" s="10">
        <v>46388</v>
      </c>
      <c r="G37" s="10">
        <v>46751</v>
      </c>
      <c r="H37" s="3" t="s">
        <v>70</v>
      </c>
      <c r="I37" s="3" t="s">
        <v>38</v>
      </c>
      <c r="J37">
        <v>10</v>
      </c>
      <c r="K37" t="s">
        <v>606</v>
      </c>
      <c r="L37" s="31">
        <v>12</v>
      </c>
      <c r="M37" t="s">
        <v>57</v>
      </c>
      <c r="O37" s="12">
        <v>770953.69</v>
      </c>
      <c r="P37" s="12" t="s">
        <v>951</v>
      </c>
      <c r="Q37" s="13" t="s">
        <v>95</v>
      </c>
      <c r="R37" s="11" t="s">
        <v>95</v>
      </c>
      <c r="S37" s="11" t="s">
        <v>95</v>
      </c>
      <c r="T37" s="12" t="s">
        <v>95</v>
      </c>
      <c r="U37" s="12" t="s">
        <v>95</v>
      </c>
      <c r="V37" s="12" t="s">
        <v>95</v>
      </c>
      <c r="W37" s="21" t="s">
        <v>95</v>
      </c>
      <c r="X37" s="21" t="s">
        <v>95</v>
      </c>
      <c r="Y37" t="s">
        <v>95</v>
      </c>
    </row>
    <row r="38" spans="1:25" x14ac:dyDescent="0.2">
      <c r="A38" t="s">
        <v>148</v>
      </c>
      <c r="B38" t="s">
        <v>23</v>
      </c>
      <c r="C38" t="s">
        <v>106</v>
      </c>
      <c r="D38" t="s">
        <v>134</v>
      </c>
      <c r="E38" t="s">
        <v>663</v>
      </c>
      <c r="F38" s="19">
        <v>48274</v>
      </c>
      <c r="G38" s="19">
        <v>48639</v>
      </c>
      <c r="H38" s="3" t="s">
        <v>139</v>
      </c>
      <c r="I38" t="s">
        <v>38</v>
      </c>
      <c r="J38" s="2">
        <v>10</v>
      </c>
      <c r="K38" t="s">
        <v>606</v>
      </c>
      <c r="L38" s="32">
        <v>12.166666666666666</v>
      </c>
      <c r="M38" s="15" t="s">
        <v>151</v>
      </c>
      <c r="N38" t="s">
        <v>152</v>
      </c>
      <c r="O38" s="12">
        <v>2698338.3899999997</v>
      </c>
      <c r="P38" s="12">
        <v>597323.80989626481</v>
      </c>
      <c r="Q38" s="13">
        <v>-0.77863272741849665</v>
      </c>
      <c r="R38" s="11">
        <v>10</v>
      </c>
      <c r="S38" s="11">
        <v>52</v>
      </c>
      <c r="T38" s="12">
        <v>597323.80989626481</v>
      </c>
      <c r="U38" s="12">
        <v>2986619</v>
      </c>
      <c r="V38" s="12">
        <v>2389295.1901037353</v>
      </c>
      <c r="W38" s="13">
        <v>0.19230769230769232</v>
      </c>
      <c r="X38" s="21">
        <v>0.44084891187851694</v>
      </c>
      <c r="Y38" t="s">
        <v>123</v>
      </c>
    </row>
    <row r="39" spans="1:25" x14ac:dyDescent="0.2">
      <c r="B39" t="s">
        <v>23</v>
      </c>
      <c r="C39" t="s">
        <v>106</v>
      </c>
      <c r="D39" t="s">
        <v>107</v>
      </c>
      <c r="E39" t="s">
        <v>664</v>
      </c>
      <c r="F39" s="10">
        <v>46388</v>
      </c>
      <c r="G39" s="10">
        <v>46478</v>
      </c>
      <c r="H39" s="3" t="s">
        <v>70</v>
      </c>
      <c r="I39" s="3" t="s">
        <v>38</v>
      </c>
      <c r="J39">
        <v>11</v>
      </c>
      <c r="K39" t="s">
        <v>606</v>
      </c>
      <c r="L39" s="31">
        <v>3</v>
      </c>
      <c r="M39" t="s">
        <v>49</v>
      </c>
      <c r="O39" s="12">
        <v>385476.85</v>
      </c>
      <c r="P39" s="12" t="s">
        <v>951</v>
      </c>
      <c r="Q39" s="13" t="s">
        <v>95</v>
      </c>
      <c r="R39" s="11" t="s">
        <v>95</v>
      </c>
      <c r="S39" s="11" t="s">
        <v>95</v>
      </c>
      <c r="T39" s="12" t="s">
        <v>95</v>
      </c>
      <c r="U39" s="12" t="s">
        <v>95</v>
      </c>
      <c r="V39" s="12" t="s">
        <v>95</v>
      </c>
      <c r="W39" s="21" t="s">
        <v>95</v>
      </c>
      <c r="X39" s="21" t="s">
        <v>95</v>
      </c>
      <c r="Y39" t="s">
        <v>124</v>
      </c>
    </row>
    <row r="40" spans="1:25" x14ac:dyDescent="0.2">
      <c r="B40" t="s">
        <v>23</v>
      </c>
      <c r="C40" t="s">
        <v>106</v>
      </c>
      <c r="D40" t="s">
        <v>107</v>
      </c>
      <c r="E40" t="s">
        <v>665</v>
      </c>
      <c r="F40" s="10">
        <v>46478</v>
      </c>
      <c r="G40" s="10">
        <v>46661</v>
      </c>
      <c r="H40" s="3" t="s">
        <v>70</v>
      </c>
      <c r="I40" s="3" t="s">
        <v>38</v>
      </c>
      <c r="J40">
        <v>12</v>
      </c>
      <c r="K40" t="s">
        <v>606</v>
      </c>
      <c r="L40" s="31">
        <v>6</v>
      </c>
      <c r="M40" t="s">
        <v>57</v>
      </c>
      <c r="O40" s="12">
        <v>770953.69</v>
      </c>
      <c r="P40" s="12" t="s">
        <v>951</v>
      </c>
      <c r="Q40" s="13" t="s">
        <v>95</v>
      </c>
      <c r="R40" s="11" t="s">
        <v>95</v>
      </c>
      <c r="S40" s="11" t="s">
        <v>95</v>
      </c>
      <c r="T40" s="12" t="s">
        <v>95</v>
      </c>
      <c r="U40" s="12" t="s">
        <v>95</v>
      </c>
      <c r="V40" s="12" t="s">
        <v>95</v>
      </c>
      <c r="W40" s="21" t="s">
        <v>95</v>
      </c>
      <c r="X40" s="21" t="s">
        <v>95</v>
      </c>
      <c r="Y40" t="s">
        <v>95</v>
      </c>
    </row>
    <row r="41" spans="1:25" x14ac:dyDescent="0.2">
      <c r="B41" t="s">
        <v>23</v>
      </c>
      <c r="C41" t="s">
        <v>106</v>
      </c>
      <c r="D41" t="s">
        <v>107</v>
      </c>
      <c r="E41" t="s">
        <v>666</v>
      </c>
      <c r="F41" s="10">
        <v>46478</v>
      </c>
      <c r="G41" s="10">
        <v>46599</v>
      </c>
      <c r="H41" s="3" t="s">
        <v>70</v>
      </c>
      <c r="I41" s="3" t="s">
        <v>38</v>
      </c>
      <c r="J41">
        <v>13</v>
      </c>
      <c r="K41" t="s">
        <v>606</v>
      </c>
      <c r="L41" s="31">
        <v>4</v>
      </c>
      <c r="M41" t="s">
        <v>49</v>
      </c>
      <c r="O41" s="12">
        <v>385476.85</v>
      </c>
      <c r="P41" s="12" t="s">
        <v>951</v>
      </c>
      <c r="Q41" s="13" t="s">
        <v>95</v>
      </c>
      <c r="R41" s="11" t="s">
        <v>95</v>
      </c>
      <c r="S41" s="11" t="s">
        <v>95</v>
      </c>
      <c r="T41" s="12" t="s">
        <v>95</v>
      </c>
      <c r="U41" s="12" t="s">
        <v>95</v>
      </c>
      <c r="V41" s="12" t="s">
        <v>95</v>
      </c>
      <c r="W41" s="21" t="s">
        <v>95</v>
      </c>
      <c r="X41" s="21" t="s">
        <v>95</v>
      </c>
      <c r="Y41" t="s">
        <v>95</v>
      </c>
    </row>
    <row r="42" spans="1:25" x14ac:dyDescent="0.2">
      <c r="B42" t="s">
        <v>23</v>
      </c>
      <c r="C42" t="s">
        <v>106</v>
      </c>
      <c r="D42" t="s">
        <v>107</v>
      </c>
      <c r="E42" t="s">
        <v>667</v>
      </c>
      <c r="F42" s="10">
        <v>46569</v>
      </c>
      <c r="G42" s="10">
        <v>46751</v>
      </c>
      <c r="H42" s="3" t="s">
        <v>70</v>
      </c>
      <c r="I42" s="3" t="s">
        <v>38</v>
      </c>
      <c r="J42">
        <v>15</v>
      </c>
      <c r="K42" t="s">
        <v>606</v>
      </c>
      <c r="L42" s="31">
        <v>6</v>
      </c>
      <c r="M42" t="s">
        <v>57</v>
      </c>
      <c r="N42" t="s">
        <v>126</v>
      </c>
      <c r="O42" s="12">
        <v>770953.69</v>
      </c>
      <c r="P42" s="12" t="s">
        <v>951</v>
      </c>
      <c r="Q42" s="13" t="s">
        <v>95</v>
      </c>
      <c r="R42" s="11" t="s">
        <v>95</v>
      </c>
      <c r="S42" s="11" t="s">
        <v>95</v>
      </c>
      <c r="T42" s="12" t="s">
        <v>95</v>
      </c>
      <c r="U42" s="12" t="s">
        <v>95</v>
      </c>
      <c r="V42" s="12" t="s">
        <v>95</v>
      </c>
      <c r="W42" s="21" t="s">
        <v>95</v>
      </c>
      <c r="X42" s="21" t="s">
        <v>95</v>
      </c>
      <c r="Y42" t="s">
        <v>95</v>
      </c>
    </row>
    <row r="43" spans="1:25" x14ac:dyDescent="0.2">
      <c r="A43" s="15"/>
      <c r="B43" s="15" t="s">
        <v>97</v>
      </c>
      <c r="C43" s="15" t="s">
        <v>106</v>
      </c>
      <c r="D43" s="15" t="s">
        <v>134</v>
      </c>
      <c r="E43" t="s">
        <v>668</v>
      </c>
      <c r="F43" s="19"/>
      <c r="G43" s="19"/>
      <c r="H43" s="16" t="s">
        <v>70</v>
      </c>
      <c r="I43" s="15" t="s">
        <v>38</v>
      </c>
      <c r="J43" s="17">
        <v>1</v>
      </c>
      <c r="K43" t="s">
        <v>606</v>
      </c>
      <c r="L43" s="32"/>
      <c r="M43" s="15"/>
      <c r="N43" s="15"/>
      <c r="O43">
        <v>0</v>
      </c>
      <c r="P43" t="s">
        <v>951</v>
      </c>
      <c r="Q43" t="s">
        <v>95</v>
      </c>
      <c r="R43" s="27" t="s">
        <v>95</v>
      </c>
      <c r="S43" s="27" t="s">
        <v>95</v>
      </c>
      <c r="T43" s="27" t="s">
        <v>95</v>
      </c>
      <c r="U43" t="s">
        <v>95</v>
      </c>
      <c r="V43" t="s">
        <v>95</v>
      </c>
      <c r="W43" s="23" t="s">
        <v>95</v>
      </c>
      <c r="X43" s="23" t="s">
        <v>95</v>
      </c>
      <c r="Y43" t="s">
        <v>95</v>
      </c>
    </row>
    <row r="44" spans="1:25" x14ac:dyDescent="0.2">
      <c r="A44" s="15"/>
      <c r="B44" s="15" t="s">
        <v>97</v>
      </c>
      <c r="C44" s="15" t="s">
        <v>106</v>
      </c>
      <c r="D44" s="15" t="s">
        <v>134</v>
      </c>
      <c r="E44" t="s">
        <v>669</v>
      </c>
      <c r="F44" s="19"/>
      <c r="G44" s="19"/>
      <c r="H44" s="16" t="s">
        <v>70</v>
      </c>
      <c r="I44" s="15" t="s">
        <v>38</v>
      </c>
      <c r="J44" s="17">
        <v>2</v>
      </c>
      <c r="K44" t="s">
        <v>606</v>
      </c>
      <c r="L44" s="32"/>
      <c r="M44" s="15"/>
      <c r="N44" s="15"/>
      <c r="O44">
        <v>0</v>
      </c>
      <c r="P44" t="s">
        <v>951</v>
      </c>
      <c r="Q44" t="s">
        <v>95</v>
      </c>
      <c r="R44" s="27" t="s">
        <v>95</v>
      </c>
      <c r="S44" s="27" t="s">
        <v>95</v>
      </c>
      <c r="T44" s="27" t="s">
        <v>95</v>
      </c>
      <c r="U44" t="s">
        <v>95</v>
      </c>
      <c r="V44" t="s">
        <v>95</v>
      </c>
      <c r="W44" s="23" t="s">
        <v>95</v>
      </c>
      <c r="X44" s="23" t="s">
        <v>95</v>
      </c>
      <c r="Y44" t="s">
        <v>95</v>
      </c>
    </row>
    <row r="45" spans="1:25" x14ac:dyDescent="0.2">
      <c r="A45" s="15"/>
      <c r="B45" s="15" t="s">
        <v>97</v>
      </c>
      <c r="C45" s="15" t="s">
        <v>106</v>
      </c>
      <c r="D45" s="15" t="s">
        <v>134</v>
      </c>
      <c r="E45" t="s">
        <v>670</v>
      </c>
      <c r="F45" s="19"/>
      <c r="G45" s="19"/>
      <c r="H45" s="16" t="s">
        <v>70</v>
      </c>
      <c r="I45" s="15" t="s">
        <v>38</v>
      </c>
      <c r="J45" s="17">
        <v>3</v>
      </c>
      <c r="K45" t="s">
        <v>606</v>
      </c>
      <c r="L45" s="32"/>
      <c r="M45" s="15"/>
      <c r="N45" s="15"/>
      <c r="O45">
        <v>0</v>
      </c>
      <c r="P45" t="s">
        <v>951</v>
      </c>
      <c r="Q45" t="s">
        <v>95</v>
      </c>
      <c r="R45" s="27" t="s">
        <v>95</v>
      </c>
      <c r="S45" s="27" t="s">
        <v>95</v>
      </c>
      <c r="T45" s="27" t="s">
        <v>95</v>
      </c>
      <c r="U45" t="s">
        <v>95</v>
      </c>
      <c r="V45" t="s">
        <v>95</v>
      </c>
      <c r="W45" s="23" t="s">
        <v>95</v>
      </c>
      <c r="X45" s="23" t="s">
        <v>95</v>
      </c>
      <c r="Y45" t="s">
        <v>125</v>
      </c>
    </row>
    <row r="46" spans="1:25" x14ac:dyDescent="0.2">
      <c r="A46" s="15"/>
      <c r="B46" s="15" t="s">
        <v>97</v>
      </c>
      <c r="C46" s="15" t="s">
        <v>106</v>
      </c>
      <c r="D46" s="15" t="s">
        <v>134</v>
      </c>
      <c r="E46" t="s">
        <v>671</v>
      </c>
      <c r="F46" s="19"/>
      <c r="G46" s="19"/>
      <c r="H46" s="16" t="s">
        <v>70</v>
      </c>
      <c r="I46" s="15" t="s">
        <v>38</v>
      </c>
      <c r="J46" s="17">
        <v>4</v>
      </c>
      <c r="K46" t="s">
        <v>606</v>
      </c>
      <c r="L46" s="32"/>
      <c r="M46" s="15"/>
      <c r="N46" s="15"/>
      <c r="O46">
        <v>0</v>
      </c>
      <c r="P46" t="s">
        <v>951</v>
      </c>
      <c r="Q46" t="s">
        <v>95</v>
      </c>
      <c r="R46" s="27" t="s">
        <v>95</v>
      </c>
      <c r="S46" s="27" t="s">
        <v>95</v>
      </c>
      <c r="T46" s="27" t="s">
        <v>95</v>
      </c>
      <c r="U46" t="s">
        <v>95</v>
      </c>
      <c r="V46" t="s">
        <v>95</v>
      </c>
      <c r="W46" s="23" t="s">
        <v>95</v>
      </c>
      <c r="X46" s="23" t="s">
        <v>95</v>
      </c>
      <c r="Y46" t="s">
        <v>95</v>
      </c>
    </row>
    <row r="47" spans="1:25" x14ac:dyDescent="0.2">
      <c r="A47" s="15"/>
      <c r="B47" s="15" t="s">
        <v>97</v>
      </c>
      <c r="C47" s="15" t="s">
        <v>106</v>
      </c>
      <c r="D47" s="15" t="s">
        <v>134</v>
      </c>
      <c r="E47" t="s">
        <v>672</v>
      </c>
      <c r="F47" s="19"/>
      <c r="G47" s="19"/>
      <c r="H47" s="16" t="s">
        <v>70</v>
      </c>
      <c r="I47" s="15" t="s">
        <v>38</v>
      </c>
      <c r="J47" s="17">
        <v>5</v>
      </c>
      <c r="K47" t="s">
        <v>606</v>
      </c>
      <c r="L47" s="32"/>
      <c r="M47" s="15"/>
      <c r="N47" s="15"/>
      <c r="O47">
        <v>0</v>
      </c>
      <c r="P47" t="s">
        <v>951</v>
      </c>
      <c r="Q47" t="s">
        <v>95</v>
      </c>
      <c r="R47" s="27" t="s">
        <v>95</v>
      </c>
      <c r="S47" s="27" t="s">
        <v>95</v>
      </c>
      <c r="T47" s="27" t="s">
        <v>95</v>
      </c>
      <c r="U47" t="s">
        <v>95</v>
      </c>
      <c r="V47" t="s">
        <v>95</v>
      </c>
      <c r="W47" s="23" t="s">
        <v>95</v>
      </c>
      <c r="X47" s="23" t="s">
        <v>95</v>
      </c>
      <c r="Y47" t="s">
        <v>95</v>
      </c>
    </row>
    <row r="48" spans="1:25" x14ac:dyDescent="0.2">
      <c r="A48" s="15"/>
      <c r="B48" s="15" t="s">
        <v>97</v>
      </c>
      <c r="C48" s="15" t="s">
        <v>106</v>
      </c>
      <c r="D48" s="15" t="s">
        <v>134</v>
      </c>
      <c r="E48" t="s">
        <v>673</v>
      </c>
      <c r="F48" s="19"/>
      <c r="G48" s="19"/>
      <c r="H48" s="16" t="s">
        <v>70</v>
      </c>
      <c r="I48" s="15" t="s">
        <v>38</v>
      </c>
      <c r="J48" s="17">
        <v>6</v>
      </c>
      <c r="K48" t="s">
        <v>606</v>
      </c>
      <c r="L48" s="32"/>
      <c r="M48" s="15"/>
      <c r="N48" s="15"/>
      <c r="O48">
        <v>0</v>
      </c>
      <c r="P48" t="s">
        <v>951</v>
      </c>
      <c r="Q48" t="s">
        <v>95</v>
      </c>
      <c r="R48" s="27" t="s">
        <v>95</v>
      </c>
      <c r="S48" s="27" t="s">
        <v>95</v>
      </c>
      <c r="T48" s="27" t="s">
        <v>95</v>
      </c>
      <c r="U48" t="s">
        <v>95</v>
      </c>
      <c r="V48" t="s">
        <v>95</v>
      </c>
      <c r="W48" s="23" t="s">
        <v>95</v>
      </c>
      <c r="X48" s="23" t="s">
        <v>95</v>
      </c>
      <c r="Y48" t="s">
        <v>95</v>
      </c>
    </row>
    <row r="49" spans="1:25" x14ac:dyDescent="0.2">
      <c r="A49" s="15"/>
      <c r="B49" s="15" t="s">
        <v>97</v>
      </c>
      <c r="C49" s="15" t="s">
        <v>106</v>
      </c>
      <c r="D49" s="15" t="s">
        <v>134</v>
      </c>
      <c r="E49" t="s">
        <v>674</v>
      </c>
      <c r="F49" s="19"/>
      <c r="G49" s="19"/>
      <c r="H49" s="16" t="s">
        <v>70</v>
      </c>
      <c r="I49" s="15" t="s">
        <v>38</v>
      </c>
      <c r="J49" s="17">
        <v>7</v>
      </c>
      <c r="K49" t="s">
        <v>606</v>
      </c>
      <c r="L49" s="32"/>
      <c r="M49" s="15"/>
      <c r="N49" s="15"/>
      <c r="O49">
        <v>0</v>
      </c>
      <c r="P49" t="s">
        <v>951</v>
      </c>
      <c r="Q49" t="s">
        <v>95</v>
      </c>
      <c r="R49" s="27" t="s">
        <v>95</v>
      </c>
      <c r="S49" s="27" t="s">
        <v>95</v>
      </c>
      <c r="T49" s="27" t="s">
        <v>95</v>
      </c>
      <c r="U49" t="s">
        <v>95</v>
      </c>
      <c r="V49" t="s">
        <v>95</v>
      </c>
      <c r="W49" s="23" t="s">
        <v>95</v>
      </c>
      <c r="X49" s="23" t="s">
        <v>95</v>
      </c>
      <c r="Y49" t="s">
        <v>95</v>
      </c>
    </row>
    <row r="50" spans="1:25" x14ac:dyDescent="0.2">
      <c r="A50" t="s">
        <v>224</v>
      </c>
      <c r="B50" t="s">
        <v>210</v>
      </c>
      <c r="C50" t="s">
        <v>203</v>
      </c>
      <c r="D50" t="s">
        <v>211</v>
      </c>
      <c r="E50" t="s">
        <v>736</v>
      </c>
      <c r="F50" s="10">
        <v>46327</v>
      </c>
      <c r="G50" s="10">
        <v>46507</v>
      </c>
      <c r="H50" s="3" t="s">
        <v>43</v>
      </c>
      <c r="I50" t="s">
        <v>38</v>
      </c>
      <c r="J50" s="2">
        <v>3</v>
      </c>
      <c r="K50" t="s">
        <v>606</v>
      </c>
      <c r="L50" s="31">
        <v>6</v>
      </c>
      <c r="M50" t="s">
        <v>57</v>
      </c>
      <c r="O50" s="12">
        <v>770953.69</v>
      </c>
      <c r="P50" s="12">
        <v>1400000</v>
      </c>
      <c r="Q50" s="20">
        <v>0.81593267943240544</v>
      </c>
      <c r="R50" s="11" t="s">
        <v>95</v>
      </c>
      <c r="S50" s="11">
        <v>0</v>
      </c>
      <c r="T50" s="12">
        <v>0</v>
      </c>
      <c r="U50" s="12">
        <v>0</v>
      </c>
      <c r="V50" s="12">
        <v>0</v>
      </c>
      <c r="W50" s="21" t="s">
        <v>95</v>
      </c>
      <c r="X50" s="21">
        <v>0.34650362996126405</v>
      </c>
      <c r="Y50" t="s">
        <v>95</v>
      </c>
    </row>
    <row r="51" spans="1:25" x14ac:dyDescent="0.2">
      <c r="A51" t="s">
        <v>225</v>
      </c>
      <c r="B51" s="33" t="s">
        <v>210</v>
      </c>
      <c r="C51" t="s">
        <v>203</v>
      </c>
      <c r="D51" t="s">
        <v>211</v>
      </c>
      <c r="E51" t="s">
        <v>737</v>
      </c>
      <c r="F51" s="10">
        <v>46508</v>
      </c>
      <c r="G51" s="10">
        <v>46691</v>
      </c>
      <c r="H51" s="34" t="s">
        <v>43</v>
      </c>
      <c r="I51" t="s">
        <v>38</v>
      </c>
      <c r="J51" s="2">
        <v>4</v>
      </c>
      <c r="K51" t="s">
        <v>606</v>
      </c>
      <c r="L51" s="31">
        <v>6.1</v>
      </c>
      <c r="M51" t="s">
        <v>57</v>
      </c>
      <c r="O51" s="12">
        <v>770953.69</v>
      </c>
      <c r="P51" s="12" t="s">
        <v>951</v>
      </c>
      <c r="Q51" s="13" t="s">
        <v>95</v>
      </c>
      <c r="R51" s="11" t="s">
        <v>95</v>
      </c>
      <c r="S51" s="11" t="s">
        <v>95</v>
      </c>
      <c r="T51" s="12" t="s">
        <v>95</v>
      </c>
      <c r="U51" s="12" t="s">
        <v>95</v>
      </c>
      <c r="V51" s="12" t="s">
        <v>95</v>
      </c>
      <c r="W51" s="21" t="s">
        <v>95</v>
      </c>
      <c r="X51" s="21">
        <v>0.34650362996126405</v>
      </c>
      <c r="Y51" t="s">
        <v>95</v>
      </c>
    </row>
    <row r="52" spans="1:25" x14ac:dyDescent="0.2">
      <c r="A52" s="33"/>
      <c r="B52" s="33" t="s">
        <v>210</v>
      </c>
      <c r="C52" s="33" t="s">
        <v>203</v>
      </c>
      <c r="D52" s="33" t="s">
        <v>211</v>
      </c>
      <c r="E52" t="s">
        <v>738</v>
      </c>
      <c r="F52" s="10">
        <v>46692</v>
      </c>
      <c r="G52" s="10">
        <v>46782</v>
      </c>
      <c r="H52" s="34" t="s">
        <v>43</v>
      </c>
      <c r="I52" t="s">
        <v>38</v>
      </c>
      <c r="J52" s="35">
        <v>5</v>
      </c>
      <c r="K52" t="s">
        <v>606</v>
      </c>
      <c r="L52" s="31">
        <v>3</v>
      </c>
      <c r="M52" t="s">
        <v>49</v>
      </c>
      <c r="N52" s="33"/>
      <c r="O52" s="12">
        <v>385476.85</v>
      </c>
      <c r="P52" s="38" t="s">
        <v>951</v>
      </c>
      <c r="Q52" s="39" t="s">
        <v>95</v>
      </c>
      <c r="R52" s="40" t="s">
        <v>95</v>
      </c>
      <c r="S52" s="40" t="s">
        <v>95</v>
      </c>
      <c r="T52" s="38" t="s">
        <v>95</v>
      </c>
      <c r="U52" s="38" t="s">
        <v>95</v>
      </c>
      <c r="V52" s="38" t="s">
        <v>95</v>
      </c>
      <c r="W52" s="41" t="s">
        <v>95</v>
      </c>
      <c r="X52" s="41">
        <v>0.34650362996126405</v>
      </c>
      <c r="Y52" t="s">
        <v>95</v>
      </c>
    </row>
    <row r="53" spans="1:25" x14ac:dyDescent="0.2">
      <c r="B53" t="s">
        <v>131</v>
      </c>
      <c r="C53" t="s">
        <v>203</v>
      </c>
      <c r="D53" t="s">
        <v>129</v>
      </c>
      <c r="E53" t="s">
        <v>739</v>
      </c>
      <c r="F53" s="10">
        <v>46289</v>
      </c>
      <c r="G53" s="10">
        <v>46344</v>
      </c>
      <c r="H53" s="3" t="s">
        <v>137</v>
      </c>
      <c r="I53" t="s">
        <v>38</v>
      </c>
      <c r="J53" s="2">
        <v>10</v>
      </c>
      <c r="K53" t="s">
        <v>606</v>
      </c>
      <c r="L53" s="31">
        <v>1</v>
      </c>
      <c r="M53" t="s">
        <v>121</v>
      </c>
      <c r="N53" t="s">
        <v>243</v>
      </c>
      <c r="O53" s="12">
        <v>192738.42</v>
      </c>
      <c r="P53" s="12" t="s">
        <v>951</v>
      </c>
      <c r="Q53" s="20" t="s">
        <v>95</v>
      </c>
      <c r="R53" s="11" t="s">
        <v>95</v>
      </c>
      <c r="S53" s="11" t="s">
        <v>95</v>
      </c>
      <c r="T53" s="12" t="s">
        <v>95</v>
      </c>
      <c r="U53" s="12" t="s">
        <v>95</v>
      </c>
      <c r="V53" s="12" t="s">
        <v>95</v>
      </c>
      <c r="W53" s="20" t="s">
        <v>95</v>
      </c>
      <c r="X53" s="21">
        <v>0.27608748713747122</v>
      </c>
      <c r="Y53" t="s">
        <v>95</v>
      </c>
    </row>
    <row r="54" spans="1:25" x14ac:dyDescent="0.2">
      <c r="B54" t="s">
        <v>23</v>
      </c>
      <c r="C54" t="s">
        <v>203</v>
      </c>
      <c r="D54" t="s">
        <v>129</v>
      </c>
      <c r="E54" t="s">
        <v>740</v>
      </c>
      <c r="F54" s="10">
        <v>46289</v>
      </c>
      <c r="G54" s="10">
        <v>46344</v>
      </c>
      <c r="H54" s="3" t="s">
        <v>520</v>
      </c>
      <c r="I54" t="s">
        <v>38</v>
      </c>
      <c r="J54" s="2">
        <v>11</v>
      </c>
      <c r="K54" t="s">
        <v>606</v>
      </c>
      <c r="L54" s="31">
        <v>2</v>
      </c>
      <c r="M54" t="s">
        <v>49</v>
      </c>
      <c r="N54" t="s">
        <v>244</v>
      </c>
      <c r="O54" s="12">
        <v>385476.85</v>
      </c>
      <c r="P54" s="12" t="s">
        <v>951</v>
      </c>
      <c r="Q54" s="20" t="s">
        <v>95</v>
      </c>
      <c r="R54" s="11" t="s">
        <v>95</v>
      </c>
      <c r="S54" s="11" t="s">
        <v>95</v>
      </c>
      <c r="T54" s="12" t="s">
        <v>95</v>
      </c>
      <c r="U54" s="12" t="s">
        <v>95</v>
      </c>
      <c r="V54" s="12" t="s">
        <v>95</v>
      </c>
      <c r="W54" s="20" t="s">
        <v>95</v>
      </c>
      <c r="X54" s="21">
        <v>0.13669334365346159</v>
      </c>
      <c r="Y54" t="s">
        <v>95</v>
      </c>
    </row>
    <row r="55" spans="1:25" x14ac:dyDescent="0.2">
      <c r="B55" t="s">
        <v>23</v>
      </c>
      <c r="C55" t="s">
        <v>203</v>
      </c>
      <c r="D55" t="s">
        <v>129</v>
      </c>
      <c r="E55" t="s">
        <v>741</v>
      </c>
      <c r="F55" s="10">
        <v>46289</v>
      </c>
      <c r="G55" s="10">
        <v>46414</v>
      </c>
      <c r="H55" s="3" t="s">
        <v>520</v>
      </c>
      <c r="I55" t="s">
        <v>38</v>
      </c>
      <c r="J55" s="2">
        <v>12</v>
      </c>
      <c r="K55" t="s">
        <v>606</v>
      </c>
      <c r="L55" s="31">
        <v>4.166666666666667</v>
      </c>
      <c r="M55" t="s">
        <v>57</v>
      </c>
      <c r="N55" t="s">
        <v>246</v>
      </c>
      <c r="O55" s="12">
        <v>770953.69</v>
      </c>
      <c r="P55" s="12" t="s">
        <v>951</v>
      </c>
      <c r="Q55" s="20" t="s">
        <v>95</v>
      </c>
      <c r="R55" s="11" t="s">
        <v>95</v>
      </c>
      <c r="S55" s="11" t="s">
        <v>95</v>
      </c>
      <c r="T55" s="12" t="s">
        <v>95</v>
      </c>
      <c r="U55" s="12" t="s">
        <v>95</v>
      </c>
      <c r="V55" s="12" t="s">
        <v>95</v>
      </c>
      <c r="W55" s="21" t="s">
        <v>95</v>
      </c>
      <c r="X55" s="21">
        <v>0.13669334365346159</v>
      </c>
      <c r="Y55" t="s">
        <v>95</v>
      </c>
    </row>
    <row r="56" spans="1:25" x14ac:dyDescent="0.2">
      <c r="A56" t="s">
        <v>247</v>
      </c>
      <c r="B56" t="s">
        <v>23</v>
      </c>
      <c r="C56" t="s">
        <v>203</v>
      </c>
      <c r="D56" t="s">
        <v>129</v>
      </c>
      <c r="E56" t="s">
        <v>742</v>
      </c>
      <c r="F56" s="36">
        <v>46359</v>
      </c>
      <c r="G56" s="36">
        <v>46569</v>
      </c>
      <c r="H56" s="3" t="s">
        <v>137</v>
      </c>
      <c r="I56" t="s">
        <v>38</v>
      </c>
      <c r="J56" s="2">
        <v>13</v>
      </c>
      <c r="K56" t="s">
        <v>606</v>
      </c>
      <c r="L56" s="37">
        <v>7</v>
      </c>
      <c r="M56" s="33" t="s">
        <v>61</v>
      </c>
      <c r="O56" s="12">
        <v>2170523.54</v>
      </c>
      <c r="P56" s="12">
        <v>1693358</v>
      </c>
      <c r="Q56" s="13">
        <v>-0.21983891499283165</v>
      </c>
      <c r="R56" s="11" t="s">
        <v>95</v>
      </c>
      <c r="S56" s="11">
        <v>0</v>
      </c>
      <c r="T56" s="12">
        <v>0</v>
      </c>
      <c r="U56" s="12">
        <v>0</v>
      </c>
      <c r="V56" s="12">
        <v>0</v>
      </c>
      <c r="W56" s="13" t="s">
        <v>95</v>
      </c>
      <c r="X56" s="21">
        <v>0.27608748713747122</v>
      </c>
      <c r="Y56" t="s">
        <v>95</v>
      </c>
    </row>
    <row r="57" spans="1:25" x14ac:dyDescent="0.2">
      <c r="A57" t="s">
        <v>248</v>
      </c>
      <c r="B57" t="s">
        <v>23</v>
      </c>
      <c r="C57" t="s">
        <v>203</v>
      </c>
      <c r="D57" t="s">
        <v>129</v>
      </c>
      <c r="E57" t="s">
        <v>480</v>
      </c>
      <c r="F57" s="10">
        <v>46499</v>
      </c>
      <c r="G57" s="10">
        <v>46639</v>
      </c>
      <c r="H57" s="3" t="s">
        <v>206</v>
      </c>
      <c r="I57" t="s">
        <v>38</v>
      </c>
      <c r="J57" s="2">
        <v>14</v>
      </c>
      <c r="K57" t="s">
        <v>606</v>
      </c>
      <c r="L57" s="31">
        <v>4</v>
      </c>
      <c r="M57" t="s">
        <v>57</v>
      </c>
      <c r="N57" t="s">
        <v>250</v>
      </c>
      <c r="O57" s="12">
        <v>770953.69</v>
      </c>
      <c r="P57" s="12">
        <v>3034206.9162109615</v>
      </c>
      <c r="Q57" s="20">
        <v>2.9356539252195053</v>
      </c>
      <c r="R57" s="11">
        <v>5</v>
      </c>
      <c r="S57" s="11">
        <v>68</v>
      </c>
      <c r="T57" s="12">
        <v>271948.34832204407</v>
      </c>
      <c r="U57" s="12">
        <v>3725320</v>
      </c>
      <c r="V57" s="12">
        <v>3453371.6516779559</v>
      </c>
      <c r="W57" s="21">
        <v>7.3529411764705885E-2</v>
      </c>
      <c r="X57" s="21">
        <v>0.29397553545858263</v>
      </c>
      <c r="Y57" t="s">
        <v>95</v>
      </c>
    </row>
    <row r="58" spans="1:25" x14ac:dyDescent="0.2">
      <c r="A58" t="s">
        <v>316</v>
      </c>
      <c r="B58" t="s">
        <v>23</v>
      </c>
      <c r="C58" t="s">
        <v>280</v>
      </c>
      <c r="D58" t="s">
        <v>295</v>
      </c>
      <c r="E58" t="s">
        <v>782</v>
      </c>
      <c r="F58" s="19">
        <v>1</v>
      </c>
      <c r="G58" s="19">
        <v>366</v>
      </c>
      <c r="H58" s="3" t="s">
        <v>100</v>
      </c>
      <c r="I58" s="15" t="s">
        <v>38</v>
      </c>
      <c r="J58" s="17">
        <v>9</v>
      </c>
      <c r="K58" t="s">
        <v>606</v>
      </c>
      <c r="L58" s="32">
        <v>12.166666666666666</v>
      </c>
      <c r="M58" t="s">
        <v>151</v>
      </c>
      <c r="O58" s="12">
        <v>1541907.39</v>
      </c>
      <c r="P58" s="12">
        <v>12000000</v>
      </c>
      <c r="Q58" s="13">
        <v>6.782568575665235</v>
      </c>
      <c r="R58" s="11" t="s">
        <v>95</v>
      </c>
      <c r="S58" s="11">
        <v>0</v>
      </c>
      <c r="T58" s="12">
        <v>0</v>
      </c>
      <c r="U58" s="12">
        <v>0</v>
      </c>
      <c r="V58" s="12">
        <v>0</v>
      </c>
      <c r="W58" s="21" t="s">
        <v>95</v>
      </c>
      <c r="X58" s="21">
        <v>0.22734625458354665</v>
      </c>
      <c r="Y58" t="s">
        <v>230</v>
      </c>
    </row>
    <row r="59" spans="1:25" x14ac:dyDescent="0.2">
      <c r="A59" t="s">
        <v>318</v>
      </c>
      <c r="B59" t="s">
        <v>23</v>
      </c>
      <c r="C59" t="s">
        <v>319</v>
      </c>
      <c r="D59" t="s">
        <v>320</v>
      </c>
      <c r="E59" t="s">
        <v>810</v>
      </c>
      <c r="F59" s="10">
        <v>46388</v>
      </c>
      <c r="G59" s="10">
        <v>46507</v>
      </c>
      <c r="H59" s="3" t="s">
        <v>43</v>
      </c>
      <c r="I59" s="10" t="s">
        <v>38</v>
      </c>
      <c r="J59" s="47">
        <v>1</v>
      </c>
      <c r="K59" t="s">
        <v>606</v>
      </c>
      <c r="L59" s="31">
        <v>3.9666666666666668</v>
      </c>
      <c r="M59" t="s">
        <v>57</v>
      </c>
      <c r="N59" s="33" t="s">
        <v>321</v>
      </c>
      <c r="O59" s="12">
        <v>770953.69</v>
      </c>
      <c r="P59" s="12">
        <v>2366666.6666666665</v>
      </c>
      <c r="Q59" s="20">
        <v>2.069790958088114</v>
      </c>
      <c r="R59" s="11" t="s">
        <v>95</v>
      </c>
      <c r="S59" s="11">
        <v>0</v>
      </c>
      <c r="T59" s="43">
        <v>0</v>
      </c>
      <c r="U59" s="12">
        <v>0</v>
      </c>
      <c r="V59" s="12">
        <v>0</v>
      </c>
      <c r="W59" s="21" t="s">
        <v>95</v>
      </c>
      <c r="X59" s="21">
        <v>0.34650362996126405</v>
      </c>
      <c r="Y59" t="s">
        <v>115</v>
      </c>
    </row>
    <row r="60" spans="1:25" x14ac:dyDescent="0.2">
      <c r="A60" t="s">
        <v>318</v>
      </c>
      <c r="B60" t="s">
        <v>23</v>
      </c>
      <c r="C60" t="s">
        <v>319</v>
      </c>
      <c r="D60" t="s">
        <v>320</v>
      </c>
      <c r="E60" t="s">
        <v>811</v>
      </c>
      <c r="F60" s="10">
        <v>46508</v>
      </c>
      <c r="G60" s="10">
        <v>46630</v>
      </c>
      <c r="H60" s="3" t="s">
        <v>43</v>
      </c>
      <c r="I60" s="10" t="s">
        <v>38</v>
      </c>
      <c r="J60" s="2">
        <v>2</v>
      </c>
      <c r="K60" t="s">
        <v>606</v>
      </c>
      <c r="L60" s="31">
        <v>4.0666666666666664</v>
      </c>
      <c r="M60" t="s">
        <v>57</v>
      </c>
      <c r="N60" s="33" t="s">
        <v>322</v>
      </c>
      <c r="O60" s="12">
        <v>770953.69</v>
      </c>
      <c r="P60" s="12">
        <v>2366666.6666666665</v>
      </c>
      <c r="Q60" s="20">
        <v>2.069790958088114</v>
      </c>
      <c r="R60" s="11" t="s">
        <v>95</v>
      </c>
      <c r="S60" s="11">
        <v>0</v>
      </c>
      <c r="T60" s="43">
        <v>0</v>
      </c>
      <c r="U60" s="12">
        <v>0</v>
      </c>
      <c r="V60" s="12">
        <v>0</v>
      </c>
      <c r="W60" s="21" t="s">
        <v>95</v>
      </c>
      <c r="X60" s="21">
        <v>0.34650362996126405</v>
      </c>
      <c r="Y60" t="s">
        <v>95</v>
      </c>
    </row>
    <row r="61" spans="1:25" x14ac:dyDescent="0.2">
      <c r="A61" s="15"/>
      <c r="B61" s="15" t="s">
        <v>23</v>
      </c>
      <c r="C61" s="15" t="s">
        <v>319</v>
      </c>
      <c r="D61" s="15" t="s">
        <v>323</v>
      </c>
      <c r="E61" t="s">
        <v>812</v>
      </c>
      <c r="F61" s="19">
        <v>46753</v>
      </c>
      <c r="G61" s="19">
        <v>46873</v>
      </c>
      <c r="H61" s="16"/>
      <c r="I61" s="19" t="s">
        <v>38</v>
      </c>
      <c r="J61" s="17">
        <v>3</v>
      </c>
      <c r="K61" t="s">
        <v>606</v>
      </c>
      <c r="L61" s="32">
        <v>4</v>
      </c>
      <c r="M61" s="15" t="s">
        <v>57</v>
      </c>
      <c r="N61" s="15"/>
      <c r="O61" s="14">
        <v>770953.69</v>
      </c>
      <c r="P61" s="14" t="s">
        <v>951</v>
      </c>
      <c r="Q61" s="18" t="s">
        <v>95</v>
      </c>
      <c r="R61" s="26" t="s">
        <v>95</v>
      </c>
      <c r="S61" s="26" t="s">
        <v>95</v>
      </c>
      <c r="T61" s="49" t="s">
        <v>95</v>
      </c>
      <c r="U61" s="14" t="s">
        <v>95</v>
      </c>
      <c r="V61" s="14" t="s">
        <v>95</v>
      </c>
      <c r="W61" s="24" t="s">
        <v>95</v>
      </c>
      <c r="X61" s="24">
        <v>0</v>
      </c>
      <c r="Y61" t="s">
        <v>116</v>
      </c>
    </row>
    <row r="62" spans="1:25" x14ac:dyDescent="0.2">
      <c r="A62" s="15"/>
      <c r="B62" s="15" t="s">
        <v>23</v>
      </c>
      <c r="C62" s="15" t="s">
        <v>319</v>
      </c>
      <c r="D62" s="15" t="s">
        <v>324</v>
      </c>
      <c r="E62" t="s">
        <v>813</v>
      </c>
      <c r="F62" s="19">
        <v>46874</v>
      </c>
      <c r="G62" s="19">
        <v>46996</v>
      </c>
      <c r="H62" s="16"/>
      <c r="I62" s="19" t="s">
        <v>38</v>
      </c>
      <c r="J62" s="17">
        <v>4</v>
      </c>
      <c r="K62" t="s">
        <v>606</v>
      </c>
      <c r="L62" s="32">
        <v>4.0666666666666664</v>
      </c>
      <c r="M62" s="15" t="s">
        <v>57</v>
      </c>
      <c r="N62" s="15"/>
      <c r="O62" s="14">
        <v>770953.69</v>
      </c>
      <c r="P62" s="14" t="s">
        <v>951</v>
      </c>
      <c r="Q62" s="18" t="s">
        <v>95</v>
      </c>
      <c r="R62" s="26" t="s">
        <v>95</v>
      </c>
      <c r="S62" s="26" t="s">
        <v>95</v>
      </c>
      <c r="T62" s="49" t="s">
        <v>95</v>
      </c>
      <c r="U62" s="14" t="s">
        <v>95</v>
      </c>
      <c r="V62" s="14" t="s">
        <v>95</v>
      </c>
      <c r="W62" s="24" t="s">
        <v>95</v>
      </c>
      <c r="X62" s="24">
        <v>0</v>
      </c>
      <c r="Y62" t="s">
        <v>126</v>
      </c>
    </row>
    <row r="63" spans="1:25" x14ac:dyDescent="0.2">
      <c r="A63" s="15"/>
      <c r="B63" s="15" t="s">
        <v>23</v>
      </c>
      <c r="C63" s="15" t="s">
        <v>319</v>
      </c>
      <c r="D63" s="15" t="s">
        <v>324</v>
      </c>
      <c r="E63" t="s">
        <v>814</v>
      </c>
      <c r="F63" s="19">
        <v>46997</v>
      </c>
      <c r="G63" s="19">
        <v>47118</v>
      </c>
      <c r="H63" s="16"/>
      <c r="I63" s="19" t="s">
        <v>38</v>
      </c>
      <c r="J63" s="17">
        <v>5</v>
      </c>
      <c r="K63" t="s">
        <v>606</v>
      </c>
      <c r="L63" s="32">
        <v>4.0333333333333332</v>
      </c>
      <c r="M63" s="15" t="s">
        <v>57</v>
      </c>
      <c r="N63" s="15"/>
      <c r="O63" s="14">
        <v>770953.69</v>
      </c>
      <c r="P63" s="14" t="s">
        <v>951</v>
      </c>
      <c r="Q63" s="18" t="s">
        <v>95</v>
      </c>
      <c r="R63" s="26" t="s">
        <v>95</v>
      </c>
      <c r="S63" s="26" t="s">
        <v>95</v>
      </c>
      <c r="T63" s="49" t="s">
        <v>95</v>
      </c>
      <c r="U63" s="14" t="s">
        <v>95</v>
      </c>
      <c r="V63" s="14" t="s">
        <v>95</v>
      </c>
      <c r="W63" s="24" t="s">
        <v>95</v>
      </c>
      <c r="X63" s="24">
        <v>0</v>
      </c>
      <c r="Y63" t="s">
        <v>95</v>
      </c>
    </row>
    <row r="64" spans="1:25" x14ac:dyDescent="0.2">
      <c r="A64" s="15"/>
      <c r="B64" s="15" t="s">
        <v>23</v>
      </c>
      <c r="C64" s="15" t="s">
        <v>319</v>
      </c>
      <c r="D64" s="15" t="s">
        <v>324</v>
      </c>
      <c r="E64" t="s">
        <v>815</v>
      </c>
      <c r="F64" s="19">
        <v>47119</v>
      </c>
      <c r="G64" s="19">
        <v>47238</v>
      </c>
      <c r="H64" s="16"/>
      <c r="I64" s="19" t="s">
        <v>38</v>
      </c>
      <c r="J64" s="17">
        <v>6</v>
      </c>
      <c r="K64" t="s">
        <v>606</v>
      </c>
      <c r="L64" s="32">
        <v>3.9666666666666668</v>
      </c>
      <c r="M64" s="15" t="s">
        <v>57</v>
      </c>
      <c r="N64" s="15"/>
      <c r="O64" s="14">
        <v>770953.69</v>
      </c>
      <c r="P64" s="14" t="s">
        <v>951</v>
      </c>
      <c r="Q64" s="18" t="s">
        <v>95</v>
      </c>
      <c r="R64" s="26" t="s">
        <v>95</v>
      </c>
      <c r="S64" s="26" t="s">
        <v>95</v>
      </c>
      <c r="T64" s="49" t="s">
        <v>95</v>
      </c>
      <c r="U64" s="14" t="s">
        <v>95</v>
      </c>
      <c r="V64" s="14" t="s">
        <v>95</v>
      </c>
      <c r="W64" s="24" t="s">
        <v>95</v>
      </c>
      <c r="X64" s="24">
        <v>0</v>
      </c>
      <c r="Y64" t="s">
        <v>117</v>
      </c>
    </row>
    <row r="65" spans="1:25" x14ac:dyDescent="0.2">
      <c r="A65" s="15"/>
      <c r="B65" s="15" t="s">
        <v>23</v>
      </c>
      <c r="C65" s="15" t="s">
        <v>319</v>
      </c>
      <c r="D65" s="15" t="s">
        <v>324</v>
      </c>
      <c r="E65" t="s">
        <v>816</v>
      </c>
      <c r="F65" s="19">
        <v>47239</v>
      </c>
      <c r="G65" s="19">
        <v>47361</v>
      </c>
      <c r="H65" s="16"/>
      <c r="I65" s="19" t="s">
        <v>38</v>
      </c>
      <c r="J65" s="17">
        <v>7</v>
      </c>
      <c r="K65" t="s">
        <v>606</v>
      </c>
      <c r="L65" s="32">
        <v>4.0666666666666664</v>
      </c>
      <c r="M65" s="15" t="s">
        <v>57</v>
      </c>
      <c r="N65" s="15"/>
      <c r="O65" s="14">
        <v>770953.69</v>
      </c>
      <c r="P65" s="14" t="s">
        <v>951</v>
      </c>
      <c r="Q65" s="18" t="s">
        <v>95</v>
      </c>
      <c r="R65" s="26" t="s">
        <v>95</v>
      </c>
      <c r="S65" s="26" t="s">
        <v>95</v>
      </c>
      <c r="T65" s="49" t="s">
        <v>95</v>
      </c>
      <c r="U65" s="14" t="s">
        <v>95</v>
      </c>
      <c r="V65" s="14" t="s">
        <v>95</v>
      </c>
      <c r="W65" s="24" t="s">
        <v>95</v>
      </c>
      <c r="X65" s="24">
        <v>0</v>
      </c>
      <c r="Y65" t="s">
        <v>95</v>
      </c>
    </row>
    <row r="66" spans="1:25" x14ac:dyDescent="0.2">
      <c r="A66" s="15"/>
      <c r="B66" s="15" t="s">
        <v>23</v>
      </c>
      <c r="C66" s="15" t="s">
        <v>319</v>
      </c>
      <c r="D66" s="15" t="s">
        <v>324</v>
      </c>
      <c r="E66" t="s">
        <v>817</v>
      </c>
      <c r="F66" s="19">
        <v>47362</v>
      </c>
      <c r="G66" s="19">
        <v>47483</v>
      </c>
      <c r="H66" s="16"/>
      <c r="I66" s="19" t="s">
        <v>38</v>
      </c>
      <c r="J66" s="17">
        <v>8</v>
      </c>
      <c r="K66" t="s">
        <v>606</v>
      </c>
      <c r="L66" s="32">
        <v>4.0333333333333332</v>
      </c>
      <c r="M66" s="15" t="s">
        <v>57</v>
      </c>
      <c r="N66" s="15"/>
      <c r="O66" s="14">
        <v>770953.69</v>
      </c>
      <c r="P66" s="14" t="s">
        <v>951</v>
      </c>
      <c r="Q66" s="18" t="s">
        <v>95</v>
      </c>
      <c r="R66" s="26" t="s">
        <v>95</v>
      </c>
      <c r="S66" s="26" t="s">
        <v>95</v>
      </c>
      <c r="T66" s="49" t="s">
        <v>95</v>
      </c>
      <c r="U66" s="14" t="s">
        <v>95</v>
      </c>
      <c r="V66" s="14" t="s">
        <v>95</v>
      </c>
      <c r="W66" s="24" t="s">
        <v>95</v>
      </c>
      <c r="X66" s="24">
        <v>0</v>
      </c>
      <c r="Y66" t="s">
        <v>118</v>
      </c>
    </row>
    <row r="67" spans="1:25" x14ac:dyDescent="0.2">
      <c r="A67" s="15"/>
      <c r="B67" s="15" t="s">
        <v>23</v>
      </c>
      <c r="C67" s="15" t="s">
        <v>319</v>
      </c>
      <c r="D67" s="15" t="s">
        <v>324</v>
      </c>
      <c r="E67" t="s">
        <v>816</v>
      </c>
      <c r="F67" s="19">
        <v>47484</v>
      </c>
      <c r="G67" s="19">
        <v>47603</v>
      </c>
      <c r="H67" s="16"/>
      <c r="I67" s="19" t="s">
        <v>38</v>
      </c>
      <c r="J67" s="17">
        <v>9</v>
      </c>
      <c r="K67" t="s">
        <v>606</v>
      </c>
      <c r="L67" s="32">
        <v>3.9666666666666668</v>
      </c>
      <c r="M67" s="15" t="s">
        <v>57</v>
      </c>
      <c r="N67" s="15"/>
      <c r="O67" s="14">
        <v>770953.69</v>
      </c>
      <c r="P67" s="14" t="s">
        <v>951</v>
      </c>
      <c r="Q67" s="18" t="s">
        <v>95</v>
      </c>
      <c r="R67" s="26" t="s">
        <v>95</v>
      </c>
      <c r="S67" s="26" t="s">
        <v>95</v>
      </c>
      <c r="T67" s="49" t="s">
        <v>95</v>
      </c>
      <c r="U67" s="14" t="s">
        <v>95</v>
      </c>
      <c r="V67" s="14" t="s">
        <v>95</v>
      </c>
      <c r="W67" s="24" t="s">
        <v>95</v>
      </c>
      <c r="X67" s="24">
        <v>0</v>
      </c>
      <c r="Y67" t="s">
        <v>95</v>
      </c>
    </row>
    <row r="68" spans="1:25" x14ac:dyDescent="0.2">
      <c r="B68" t="s">
        <v>23</v>
      </c>
      <c r="C68" t="s">
        <v>175</v>
      </c>
      <c r="D68" t="s">
        <v>461</v>
      </c>
      <c r="E68" t="s">
        <v>825</v>
      </c>
      <c r="F68" s="19">
        <v>46844</v>
      </c>
      <c r="G68" s="19">
        <v>46935</v>
      </c>
      <c r="H68" s="3" t="s">
        <v>522</v>
      </c>
      <c r="I68" t="s">
        <v>38</v>
      </c>
      <c r="J68" s="2">
        <v>1</v>
      </c>
      <c r="K68" t="s">
        <v>606</v>
      </c>
      <c r="L68" s="32">
        <v>3.0333333333333332</v>
      </c>
      <c r="M68" s="15" t="s">
        <v>57</v>
      </c>
      <c r="O68" s="12">
        <v>770953.69</v>
      </c>
      <c r="P68" s="12" t="s">
        <v>951</v>
      </c>
      <c r="Q68" s="13" t="s">
        <v>95</v>
      </c>
      <c r="R68" s="11" t="s">
        <v>95</v>
      </c>
      <c r="S68" s="11" t="s">
        <v>95</v>
      </c>
      <c r="T68" s="12" t="s">
        <v>95</v>
      </c>
      <c r="U68" s="12" t="s">
        <v>95</v>
      </c>
      <c r="V68" s="12" t="s">
        <v>95</v>
      </c>
      <c r="W68" s="21" t="s">
        <v>95</v>
      </c>
      <c r="X68" s="21" t="e">
        <v>#N/A</v>
      </c>
      <c r="Y68" t="s">
        <v>119</v>
      </c>
    </row>
    <row r="69" spans="1:25" x14ac:dyDescent="0.2">
      <c r="B69" t="s">
        <v>23</v>
      </c>
      <c r="C69" t="s">
        <v>175</v>
      </c>
      <c r="D69" t="s">
        <v>461</v>
      </c>
      <c r="E69" t="s">
        <v>826</v>
      </c>
      <c r="F69" s="19">
        <v>46935</v>
      </c>
      <c r="G69" s="19">
        <v>47027</v>
      </c>
      <c r="H69" s="3" t="s">
        <v>522</v>
      </c>
      <c r="I69" t="s">
        <v>38</v>
      </c>
      <c r="J69" s="2">
        <v>2</v>
      </c>
      <c r="K69" t="s">
        <v>606</v>
      </c>
      <c r="L69" s="32">
        <v>3.0666666666666669</v>
      </c>
      <c r="M69" s="15" t="s">
        <v>57</v>
      </c>
      <c r="O69" s="12">
        <v>770953.69</v>
      </c>
      <c r="P69" s="12" t="s">
        <v>951</v>
      </c>
      <c r="Q69" s="20" t="s">
        <v>95</v>
      </c>
      <c r="R69" s="11" t="s">
        <v>95</v>
      </c>
      <c r="S69" s="11" t="s">
        <v>95</v>
      </c>
      <c r="T69" s="12" t="s">
        <v>95</v>
      </c>
      <c r="U69" s="12" t="s">
        <v>95</v>
      </c>
      <c r="V69" s="12" t="s">
        <v>95</v>
      </c>
      <c r="W69" s="21" t="s">
        <v>95</v>
      </c>
      <c r="X69" s="21" t="e">
        <v>#N/A</v>
      </c>
      <c r="Y69" t="s">
        <v>95</v>
      </c>
    </row>
    <row r="70" spans="1:25" x14ac:dyDescent="0.2">
      <c r="B70" t="s">
        <v>23</v>
      </c>
      <c r="C70" t="s">
        <v>175</v>
      </c>
      <c r="D70" t="s">
        <v>357</v>
      </c>
      <c r="E70" t="s">
        <v>827</v>
      </c>
      <c r="F70" s="10">
        <v>46296</v>
      </c>
      <c r="G70" s="10">
        <v>46477</v>
      </c>
      <c r="H70" s="3" t="s">
        <v>358</v>
      </c>
      <c r="I70" t="s">
        <v>38</v>
      </c>
      <c r="J70" s="2">
        <v>3</v>
      </c>
      <c r="K70" t="s">
        <v>606</v>
      </c>
      <c r="L70" s="31">
        <v>6.0333333333333332</v>
      </c>
      <c r="M70" t="s">
        <v>57</v>
      </c>
      <c r="O70" s="12">
        <v>770953.69</v>
      </c>
      <c r="P70" s="12" t="s">
        <v>951</v>
      </c>
      <c r="Q70" s="13" t="s">
        <v>95</v>
      </c>
      <c r="R70" s="11" t="s">
        <v>95</v>
      </c>
      <c r="S70" s="11" t="s">
        <v>95</v>
      </c>
      <c r="T70" s="12" t="s">
        <v>95</v>
      </c>
      <c r="U70" s="12" t="s">
        <v>95</v>
      </c>
      <c r="V70" s="12" t="s">
        <v>95</v>
      </c>
      <c r="W70" s="13" t="s">
        <v>95</v>
      </c>
      <c r="X70" s="23">
        <v>0.44195585665372528</v>
      </c>
      <c r="Y70" t="s">
        <v>120</v>
      </c>
    </row>
    <row r="71" spans="1:25" x14ac:dyDescent="0.2">
      <c r="B71" t="s">
        <v>23</v>
      </c>
      <c r="C71" t="s">
        <v>175</v>
      </c>
      <c r="D71" t="s">
        <v>149</v>
      </c>
      <c r="E71" t="s">
        <v>828</v>
      </c>
      <c r="F71" s="46">
        <v>47027</v>
      </c>
      <c r="G71" s="46">
        <v>47209</v>
      </c>
      <c r="H71" s="3" t="s">
        <v>139</v>
      </c>
      <c r="I71" t="s">
        <v>38</v>
      </c>
      <c r="J71" s="2">
        <v>3</v>
      </c>
      <c r="K71" t="s">
        <v>606</v>
      </c>
      <c r="L71" s="32">
        <v>6.0666666666666664</v>
      </c>
      <c r="M71" t="s">
        <v>57</v>
      </c>
      <c r="O71" s="12">
        <v>770953.69</v>
      </c>
      <c r="P71" s="12" t="s">
        <v>951</v>
      </c>
      <c r="Q71" s="13" t="s">
        <v>95</v>
      </c>
      <c r="R71" s="11" t="s">
        <v>95</v>
      </c>
      <c r="S71" s="11" t="s">
        <v>95</v>
      </c>
      <c r="T71" s="12" t="s">
        <v>95</v>
      </c>
      <c r="U71" s="12" t="s">
        <v>95</v>
      </c>
      <c r="V71" s="12" t="s">
        <v>95</v>
      </c>
      <c r="W71" s="21" t="s">
        <v>95</v>
      </c>
      <c r="X71" s="21">
        <v>0.44084891187851694</v>
      </c>
      <c r="Y71" t="s">
        <v>95</v>
      </c>
    </row>
    <row r="72" spans="1:25" x14ac:dyDescent="0.2">
      <c r="B72" t="s">
        <v>23</v>
      </c>
      <c r="C72" t="s">
        <v>175</v>
      </c>
      <c r="D72" t="s">
        <v>476</v>
      </c>
      <c r="E72" t="s">
        <v>829</v>
      </c>
      <c r="F72" s="10">
        <v>47210</v>
      </c>
      <c r="G72" s="10">
        <v>47330</v>
      </c>
      <c r="H72" s="3" t="s">
        <v>176</v>
      </c>
      <c r="I72" t="s">
        <v>38</v>
      </c>
      <c r="J72" s="2">
        <v>3</v>
      </c>
      <c r="K72" t="s">
        <v>606</v>
      </c>
      <c r="L72" s="31">
        <v>4</v>
      </c>
      <c r="M72" t="s">
        <v>57</v>
      </c>
      <c r="O72" s="12">
        <v>770953.69</v>
      </c>
      <c r="P72" s="12" t="s">
        <v>951</v>
      </c>
      <c r="Q72" s="20" t="s">
        <v>95</v>
      </c>
      <c r="R72" s="11" t="s">
        <v>95</v>
      </c>
      <c r="S72" s="11" t="s">
        <v>95</v>
      </c>
      <c r="T72" s="12" t="s">
        <v>95</v>
      </c>
      <c r="U72" s="12" t="s">
        <v>95</v>
      </c>
      <c r="V72" s="12" t="s">
        <v>95</v>
      </c>
      <c r="W72" s="21" t="s">
        <v>95</v>
      </c>
      <c r="X72" s="21" t="s">
        <v>95</v>
      </c>
      <c r="Y72" t="s">
        <v>122</v>
      </c>
    </row>
    <row r="73" spans="1:25" x14ac:dyDescent="0.2">
      <c r="B73" t="s">
        <v>23</v>
      </c>
      <c r="C73" t="s">
        <v>175</v>
      </c>
      <c r="D73" t="s">
        <v>357</v>
      </c>
      <c r="E73" t="s">
        <v>830</v>
      </c>
      <c r="F73" s="10">
        <v>47331</v>
      </c>
      <c r="G73" s="10">
        <v>47514</v>
      </c>
      <c r="H73" s="3" t="s">
        <v>358</v>
      </c>
      <c r="I73" t="s">
        <v>38</v>
      </c>
      <c r="J73" s="2">
        <v>4</v>
      </c>
      <c r="K73" t="s">
        <v>606</v>
      </c>
      <c r="L73" s="31">
        <v>6.1</v>
      </c>
      <c r="M73" t="s">
        <v>57</v>
      </c>
      <c r="O73" s="12">
        <v>770953.69</v>
      </c>
      <c r="P73" s="12" t="s">
        <v>951</v>
      </c>
      <c r="Q73" s="13" t="s">
        <v>95</v>
      </c>
      <c r="R73" s="11" t="s">
        <v>95</v>
      </c>
      <c r="S73" s="11" t="s">
        <v>95</v>
      </c>
      <c r="T73" s="12" t="s">
        <v>95</v>
      </c>
      <c r="U73" s="12" t="s">
        <v>95</v>
      </c>
      <c r="V73" s="12" t="s">
        <v>95</v>
      </c>
      <c r="W73" s="13" t="s">
        <v>95</v>
      </c>
      <c r="X73" s="23">
        <v>0.44195585665372528</v>
      </c>
      <c r="Y73" t="s">
        <v>95</v>
      </c>
    </row>
    <row r="74" spans="1:25" x14ac:dyDescent="0.2">
      <c r="B74" t="s">
        <v>23</v>
      </c>
      <c r="C74" t="s">
        <v>175</v>
      </c>
      <c r="D74" t="s">
        <v>149</v>
      </c>
      <c r="E74" t="s">
        <v>831</v>
      </c>
      <c r="F74" s="46">
        <v>47209</v>
      </c>
      <c r="G74" s="46">
        <v>47392</v>
      </c>
      <c r="H74" s="3" t="s">
        <v>139</v>
      </c>
      <c r="I74" t="s">
        <v>38</v>
      </c>
      <c r="J74" s="2">
        <v>4</v>
      </c>
      <c r="K74" t="s">
        <v>606</v>
      </c>
      <c r="L74" s="32">
        <v>6.1</v>
      </c>
      <c r="M74" t="s">
        <v>57</v>
      </c>
      <c r="O74" s="12">
        <v>770953.69</v>
      </c>
      <c r="P74" s="12" t="s">
        <v>951</v>
      </c>
      <c r="Q74" s="13" t="s">
        <v>95</v>
      </c>
      <c r="R74" s="11" t="s">
        <v>95</v>
      </c>
      <c r="S74" s="11" t="s">
        <v>95</v>
      </c>
      <c r="T74" s="12" t="s">
        <v>95</v>
      </c>
      <c r="U74" s="12" t="s">
        <v>95</v>
      </c>
      <c r="V74" s="12" t="s">
        <v>95</v>
      </c>
      <c r="W74" s="21" t="s">
        <v>95</v>
      </c>
      <c r="X74" s="21">
        <v>0.44084891187851694</v>
      </c>
      <c r="Y74" t="s">
        <v>95</v>
      </c>
    </row>
    <row r="75" spans="1:25" x14ac:dyDescent="0.2">
      <c r="B75" t="s">
        <v>23</v>
      </c>
      <c r="C75" t="s">
        <v>175</v>
      </c>
      <c r="D75" t="s">
        <v>71</v>
      </c>
      <c r="E75" t="s">
        <v>832</v>
      </c>
      <c r="F75" s="10">
        <v>46327</v>
      </c>
      <c r="G75" s="10">
        <v>46599</v>
      </c>
      <c r="H75" s="3" t="s">
        <v>144</v>
      </c>
      <c r="I75" t="s">
        <v>38</v>
      </c>
      <c r="J75" s="2">
        <v>4</v>
      </c>
      <c r="K75" t="s">
        <v>606</v>
      </c>
      <c r="L75" s="31">
        <v>9</v>
      </c>
      <c r="M75" t="s">
        <v>61</v>
      </c>
      <c r="N75" t="s">
        <v>453</v>
      </c>
      <c r="O75" s="12">
        <v>1156430.54</v>
      </c>
      <c r="P75" s="12" t="s">
        <v>951</v>
      </c>
      <c r="Q75" s="28">
        <v>0</v>
      </c>
      <c r="R75" s="11" t="s">
        <v>95</v>
      </c>
      <c r="S75" s="11" t="s">
        <v>95</v>
      </c>
      <c r="T75" s="12" t="s">
        <v>95</v>
      </c>
      <c r="U75" s="12" t="s">
        <v>95</v>
      </c>
      <c r="V75" s="12" t="s">
        <v>95</v>
      </c>
      <c r="W75" s="21" t="s">
        <v>95</v>
      </c>
      <c r="X75" s="21">
        <v>0.54879953085814948</v>
      </c>
      <c r="Y75" t="s">
        <v>95</v>
      </c>
    </row>
    <row r="76" spans="1:25" x14ac:dyDescent="0.2">
      <c r="B76" t="s">
        <v>23</v>
      </c>
      <c r="C76" t="s">
        <v>175</v>
      </c>
      <c r="D76" t="s">
        <v>476</v>
      </c>
      <c r="E76" t="s">
        <v>833</v>
      </c>
      <c r="F76" s="10">
        <v>46600</v>
      </c>
      <c r="G76" s="10">
        <v>46721</v>
      </c>
      <c r="H76" s="3" t="s">
        <v>176</v>
      </c>
      <c r="I76" t="s">
        <v>38</v>
      </c>
      <c r="J76" s="2">
        <v>4</v>
      </c>
      <c r="K76" t="s">
        <v>606</v>
      </c>
      <c r="L76" s="31">
        <v>4.0333333333333332</v>
      </c>
      <c r="M76" t="s">
        <v>57</v>
      </c>
      <c r="O76" s="12">
        <v>770953.69</v>
      </c>
      <c r="P76" s="12" t="s">
        <v>951</v>
      </c>
      <c r="Q76" s="20" t="s">
        <v>95</v>
      </c>
      <c r="R76" s="11" t="s">
        <v>95</v>
      </c>
      <c r="S76" s="11" t="s">
        <v>95</v>
      </c>
      <c r="T76" s="12" t="s">
        <v>95</v>
      </c>
      <c r="U76" s="12" t="s">
        <v>95</v>
      </c>
      <c r="V76" s="12" t="s">
        <v>95</v>
      </c>
      <c r="W76" s="21" t="s">
        <v>95</v>
      </c>
      <c r="X76" s="21" t="s">
        <v>95</v>
      </c>
      <c r="Y76" t="s">
        <v>217</v>
      </c>
    </row>
    <row r="77" spans="1:25" x14ac:dyDescent="0.2">
      <c r="B77" t="s">
        <v>23</v>
      </c>
      <c r="C77" t="s">
        <v>175</v>
      </c>
      <c r="D77" t="s">
        <v>357</v>
      </c>
      <c r="E77" t="s">
        <v>834</v>
      </c>
      <c r="F77" s="10">
        <v>46722</v>
      </c>
      <c r="G77" s="10">
        <v>46904</v>
      </c>
      <c r="H77" s="3" t="s">
        <v>358</v>
      </c>
      <c r="I77" t="s">
        <v>38</v>
      </c>
      <c r="J77" s="2">
        <v>5</v>
      </c>
      <c r="K77" t="s">
        <v>606</v>
      </c>
      <c r="L77" s="31">
        <v>6.0666666666666664</v>
      </c>
      <c r="M77" t="s">
        <v>57</v>
      </c>
      <c r="O77" s="12">
        <v>770953.69</v>
      </c>
      <c r="P77" s="12" t="s">
        <v>951</v>
      </c>
      <c r="Q77" s="13" t="s">
        <v>95</v>
      </c>
      <c r="R77" s="11" t="s">
        <v>95</v>
      </c>
      <c r="S77" s="11" t="s">
        <v>95</v>
      </c>
      <c r="T77" s="12" t="s">
        <v>95</v>
      </c>
      <c r="U77" s="12" t="s">
        <v>95</v>
      </c>
      <c r="V77" s="12" t="s">
        <v>95</v>
      </c>
      <c r="W77" s="13" t="s">
        <v>95</v>
      </c>
      <c r="X77" s="23">
        <v>0.44195585665372528</v>
      </c>
      <c r="Y77" t="s">
        <v>95</v>
      </c>
    </row>
    <row r="78" spans="1:25" x14ac:dyDescent="0.2">
      <c r="B78" t="s">
        <v>23</v>
      </c>
      <c r="C78" t="s">
        <v>175</v>
      </c>
      <c r="D78" t="s">
        <v>149</v>
      </c>
      <c r="E78" t="s">
        <v>835</v>
      </c>
      <c r="F78" s="42">
        <v>46271</v>
      </c>
      <c r="G78" s="53">
        <v>46393</v>
      </c>
      <c r="H78" s="3" t="s">
        <v>43</v>
      </c>
      <c r="I78" t="s">
        <v>38</v>
      </c>
      <c r="J78" s="2">
        <v>5</v>
      </c>
      <c r="K78" t="s">
        <v>606</v>
      </c>
      <c r="L78" s="31">
        <v>4.0666666666666664</v>
      </c>
      <c r="M78" t="s">
        <v>57</v>
      </c>
      <c r="N78" t="s">
        <v>378</v>
      </c>
      <c r="O78" s="12">
        <v>770953.69</v>
      </c>
      <c r="P78" s="12" t="s">
        <v>951</v>
      </c>
      <c r="Q78" s="20" t="s">
        <v>95</v>
      </c>
      <c r="R78" s="11" t="s">
        <v>95</v>
      </c>
      <c r="S78" s="11" t="s">
        <v>95</v>
      </c>
      <c r="T78" s="12" t="s">
        <v>95</v>
      </c>
      <c r="U78" s="12" t="s">
        <v>95</v>
      </c>
      <c r="V78" s="12" t="s">
        <v>95</v>
      </c>
      <c r="W78" s="21" t="s">
        <v>95</v>
      </c>
      <c r="X78" s="21">
        <v>0.34650362996126405</v>
      </c>
      <c r="Y78" t="s">
        <v>110</v>
      </c>
    </row>
    <row r="79" spans="1:25" x14ac:dyDescent="0.2">
      <c r="B79" t="s">
        <v>23</v>
      </c>
      <c r="C79" t="s">
        <v>175</v>
      </c>
      <c r="D79" t="s">
        <v>149</v>
      </c>
      <c r="E79" t="s">
        <v>836</v>
      </c>
      <c r="F79" s="46">
        <v>47392</v>
      </c>
      <c r="G79" s="46">
        <v>47574</v>
      </c>
      <c r="H79" s="3" t="s">
        <v>139</v>
      </c>
      <c r="I79" t="s">
        <v>38</v>
      </c>
      <c r="J79" s="2">
        <v>5</v>
      </c>
      <c r="K79" t="s">
        <v>606</v>
      </c>
      <c r="L79" s="32">
        <v>6.0666666666666664</v>
      </c>
      <c r="M79" t="s">
        <v>57</v>
      </c>
      <c r="O79" s="12">
        <v>770953.69</v>
      </c>
      <c r="P79" s="12" t="s">
        <v>951</v>
      </c>
      <c r="Q79" s="13" t="s">
        <v>95</v>
      </c>
      <c r="R79" s="11" t="s">
        <v>95</v>
      </c>
      <c r="S79" s="11" t="s">
        <v>95</v>
      </c>
      <c r="T79" s="12" t="s">
        <v>95</v>
      </c>
      <c r="U79" s="12" t="s">
        <v>95</v>
      </c>
      <c r="V79" s="12" t="s">
        <v>95</v>
      </c>
      <c r="W79" s="21" t="s">
        <v>95</v>
      </c>
      <c r="X79" s="21">
        <v>0.44084891187851694</v>
      </c>
      <c r="Y79" t="s">
        <v>112</v>
      </c>
    </row>
    <row r="80" spans="1:25" x14ac:dyDescent="0.2">
      <c r="B80" t="s">
        <v>131</v>
      </c>
      <c r="C80" t="s">
        <v>175</v>
      </c>
      <c r="D80" t="s">
        <v>395</v>
      </c>
      <c r="E80" t="s">
        <v>837</v>
      </c>
      <c r="F80" s="50">
        <v>46296</v>
      </c>
      <c r="G80" s="50">
        <v>46387</v>
      </c>
      <c r="H80" s="3" t="s">
        <v>67</v>
      </c>
      <c r="I80" t="s">
        <v>38</v>
      </c>
      <c r="J80" s="2">
        <v>5</v>
      </c>
      <c r="K80" t="s">
        <v>606</v>
      </c>
      <c r="L80" s="31">
        <v>3.0333333333333332</v>
      </c>
      <c r="M80" t="s">
        <v>49</v>
      </c>
      <c r="N80" t="s">
        <v>407</v>
      </c>
      <c r="O80" s="12">
        <v>385476.85</v>
      </c>
      <c r="P80" s="12" t="s">
        <v>951</v>
      </c>
      <c r="Q80" s="20" t="s">
        <v>95</v>
      </c>
      <c r="R80" s="11" t="s">
        <v>95</v>
      </c>
      <c r="S80" s="11" t="s">
        <v>95</v>
      </c>
      <c r="T80" s="12" t="s">
        <v>95</v>
      </c>
      <c r="U80" s="12" t="s">
        <v>95</v>
      </c>
      <c r="V80" s="12" t="s">
        <v>95</v>
      </c>
      <c r="W80" s="21" t="s">
        <v>95</v>
      </c>
      <c r="X80" s="21">
        <v>9.8881276226545273E-2</v>
      </c>
      <c r="Y80" t="s">
        <v>113</v>
      </c>
    </row>
    <row r="81" spans="1:25" x14ac:dyDescent="0.2">
      <c r="B81" t="s">
        <v>23</v>
      </c>
      <c r="C81" t="s">
        <v>175</v>
      </c>
      <c r="D81" t="s">
        <v>71</v>
      </c>
      <c r="E81" t="s">
        <v>838</v>
      </c>
      <c r="F81" s="10">
        <v>46388</v>
      </c>
      <c r="G81" s="10">
        <v>46934</v>
      </c>
      <c r="H81" s="3" t="s">
        <v>144</v>
      </c>
      <c r="I81" t="s">
        <v>38</v>
      </c>
      <c r="J81" s="2">
        <v>5</v>
      </c>
      <c r="K81" t="s">
        <v>606</v>
      </c>
      <c r="L81" s="31">
        <v>6</v>
      </c>
      <c r="M81" t="s">
        <v>57</v>
      </c>
      <c r="N81" t="s">
        <v>454</v>
      </c>
      <c r="O81" s="12">
        <v>770953.69</v>
      </c>
      <c r="P81" s="12" t="s">
        <v>951</v>
      </c>
      <c r="Q81" s="28">
        <v>0</v>
      </c>
      <c r="R81" s="11" t="s">
        <v>95</v>
      </c>
      <c r="S81" s="11" t="s">
        <v>95</v>
      </c>
      <c r="T81" s="12" t="s">
        <v>95</v>
      </c>
      <c r="U81" s="12" t="s">
        <v>95</v>
      </c>
      <c r="V81" s="12" t="s">
        <v>95</v>
      </c>
      <c r="W81" s="21" t="s">
        <v>95</v>
      </c>
      <c r="X81" s="21">
        <v>0.54879953085814948</v>
      </c>
      <c r="Y81" t="s">
        <v>114</v>
      </c>
    </row>
    <row r="82" spans="1:25" x14ac:dyDescent="0.2">
      <c r="B82" t="s">
        <v>23</v>
      </c>
      <c r="C82" t="s">
        <v>175</v>
      </c>
      <c r="D82" t="s">
        <v>476</v>
      </c>
      <c r="E82" t="s">
        <v>839</v>
      </c>
      <c r="F82" s="10">
        <v>46935</v>
      </c>
      <c r="G82" s="10">
        <v>47057</v>
      </c>
      <c r="H82" s="3" t="s">
        <v>176</v>
      </c>
      <c r="I82" t="s">
        <v>38</v>
      </c>
      <c r="J82" s="2">
        <v>5</v>
      </c>
      <c r="K82" t="s">
        <v>606</v>
      </c>
      <c r="L82" s="31">
        <v>4.0666666666666664</v>
      </c>
      <c r="M82" t="s">
        <v>57</v>
      </c>
      <c r="O82" s="12">
        <v>770953.69</v>
      </c>
      <c r="P82" s="12" t="s">
        <v>951</v>
      </c>
      <c r="Q82" s="20" t="s">
        <v>95</v>
      </c>
      <c r="R82" s="11" t="s">
        <v>95</v>
      </c>
      <c r="S82" s="11" t="s">
        <v>95</v>
      </c>
      <c r="T82" s="12" t="s">
        <v>95</v>
      </c>
      <c r="U82" s="12" t="s">
        <v>95</v>
      </c>
      <c r="V82" s="12" t="s">
        <v>95</v>
      </c>
      <c r="W82" s="21" t="s">
        <v>95</v>
      </c>
      <c r="X82" s="21" t="s">
        <v>95</v>
      </c>
      <c r="Y82" t="s">
        <v>95</v>
      </c>
    </row>
    <row r="83" spans="1:25" x14ac:dyDescent="0.2">
      <c r="B83" t="s">
        <v>23</v>
      </c>
      <c r="C83" t="s">
        <v>175</v>
      </c>
      <c r="D83" t="s">
        <v>357</v>
      </c>
      <c r="E83" t="s">
        <v>840</v>
      </c>
      <c r="F83" s="10">
        <v>47058</v>
      </c>
      <c r="G83" s="10">
        <v>47238</v>
      </c>
      <c r="H83" s="3" t="s">
        <v>176</v>
      </c>
      <c r="I83" t="s">
        <v>38</v>
      </c>
      <c r="J83" s="2">
        <v>6</v>
      </c>
      <c r="K83" t="s">
        <v>606</v>
      </c>
      <c r="L83" s="31">
        <v>6</v>
      </c>
      <c r="M83" t="s">
        <v>57</v>
      </c>
      <c r="O83" s="12">
        <v>770953.69</v>
      </c>
      <c r="P83" s="12" t="s">
        <v>951</v>
      </c>
      <c r="Q83" s="13" t="s">
        <v>95</v>
      </c>
      <c r="R83" s="11" t="s">
        <v>95</v>
      </c>
      <c r="S83" s="11" t="s">
        <v>95</v>
      </c>
      <c r="T83" s="12" t="s">
        <v>95</v>
      </c>
      <c r="U83" s="12" t="s">
        <v>95</v>
      </c>
      <c r="V83" s="12" t="s">
        <v>95</v>
      </c>
      <c r="W83" s="13" t="s">
        <v>95</v>
      </c>
      <c r="X83" s="23" t="s">
        <v>95</v>
      </c>
      <c r="Y83" t="s">
        <v>95</v>
      </c>
    </row>
    <row r="84" spans="1:25" x14ac:dyDescent="0.2">
      <c r="B84" t="s">
        <v>131</v>
      </c>
      <c r="C84" t="s">
        <v>175</v>
      </c>
      <c r="D84" t="s">
        <v>395</v>
      </c>
      <c r="E84" t="s">
        <v>841</v>
      </c>
      <c r="F84" s="10">
        <v>46388</v>
      </c>
      <c r="G84" s="10">
        <v>46477</v>
      </c>
      <c r="H84" s="3" t="s">
        <v>67</v>
      </c>
      <c r="I84" t="s">
        <v>38</v>
      </c>
      <c r="J84" s="2">
        <v>6</v>
      </c>
      <c r="K84" t="s">
        <v>606</v>
      </c>
      <c r="L84" s="31">
        <v>3</v>
      </c>
      <c r="M84" t="s">
        <v>49</v>
      </c>
      <c r="N84" t="s">
        <v>407</v>
      </c>
      <c r="O84" s="12">
        <v>385476.85</v>
      </c>
      <c r="P84" s="12" t="s">
        <v>951</v>
      </c>
      <c r="Q84" s="20" t="s">
        <v>95</v>
      </c>
      <c r="R84" s="11" t="s">
        <v>95</v>
      </c>
      <c r="S84" s="11" t="s">
        <v>95</v>
      </c>
      <c r="T84" s="12" t="s">
        <v>95</v>
      </c>
      <c r="U84" s="12" t="s">
        <v>95</v>
      </c>
      <c r="V84" s="12" t="s">
        <v>95</v>
      </c>
      <c r="W84" s="21" t="s">
        <v>95</v>
      </c>
      <c r="X84" s="21">
        <v>9.8881276226545273E-2</v>
      </c>
      <c r="Y84" t="s">
        <v>95</v>
      </c>
    </row>
    <row r="85" spans="1:25" x14ac:dyDescent="0.2">
      <c r="A85" t="s">
        <v>318</v>
      </c>
      <c r="B85" t="s">
        <v>23</v>
      </c>
      <c r="C85" t="s">
        <v>175</v>
      </c>
      <c r="D85" t="s">
        <v>71</v>
      </c>
      <c r="E85" t="s">
        <v>810</v>
      </c>
      <c r="F85" s="10">
        <v>46478</v>
      </c>
      <c r="G85" s="10">
        <v>46660</v>
      </c>
      <c r="H85" s="3" t="s">
        <v>144</v>
      </c>
      <c r="I85" t="s">
        <v>38</v>
      </c>
      <c r="J85" s="2">
        <v>6</v>
      </c>
      <c r="K85" t="s">
        <v>606</v>
      </c>
      <c r="L85" s="31">
        <v>6</v>
      </c>
      <c r="M85" t="s">
        <v>57</v>
      </c>
      <c r="N85" t="s">
        <v>455</v>
      </c>
      <c r="O85" s="12">
        <v>770953.69</v>
      </c>
      <c r="P85" s="12">
        <v>2366666.6666666665</v>
      </c>
      <c r="Q85" s="28">
        <v>0</v>
      </c>
      <c r="R85" s="11" t="s">
        <v>95</v>
      </c>
      <c r="S85" s="11">
        <v>0</v>
      </c>
      <c r="T85" s="12">
        <v>0</v>
      </c>
      <c r="U85" s="12">
        <v>0</v>
      </c>
      <c r="V85" s="12">
        <v>0</v>
      </c>
      <c r="W85" s="21" t="s">
        <v>95</v>
      </c>
      <c r="X85" s="21">
        <v>0.54879953085814948</v>
      </c>
      <c r="Y85" t="s">
        <v>95</v>
      </c>
    </row>
    <row r="86" spans="1:25" x14ac:dyDescent="0.2">
      <c r="A86" t="s">
        <v>467</v>
      </c>
      <c r="B86" t="s">
        <v>23</v>
      </c>
      <c r="C86" t="s">
        <v>175</v>
      </c>
      <c r="D86" t="s">
        <v>461</v>
      </c>
      <c r="E86" t="s">
        <v>842</v>
      </c>
      <c r="F86" s="10">
        <v>47574</v>
      </c>
      <c r="G86" s="10">
        <v>47939</v>
      </c>
      <c r="H86" s="3" t="s">
        <v>190</v>
      </c>
      <c r="I86" t="s">
        <v>38</v>
      </c>
      <c r="J86" s="2">
        <v>6</v>
      </c>
      <c r="K86" t="s">
        <v>606</v>
      </c>
      <c r="L86" s="31">
        <v>12.166666666666666</v>
      </c>
      <c r="M86" t="s">
        <v>57</v>
      </c>
      <c r="O86" s="12">
        <v>770953.69</v>
      </c>
      <c r="P86" s="12" t="s">
        <v>951</v>
      </c>
      <c r="Q86" s="20" t="s">
        <v>95</v>
      </c>
      <c r="R86" s="11" t="s">
        <v>95</v>
      </c>
      <c r="S86" s="11" t="s">
        <v>95</v>
      </c>
      <c r="T86" s="12" t="s">
        <v>95</v>
      </c>
      <c r="U86" s="12" t="s">
        <v>95</v>
      </c>
      <c r="V86" s="12" t="s">
        <v>95</v>
      </c>
      <c r="W86" s="21" t="s">
        <v>95</v>
      </c>
      <c r="X86" s="21">
        <v>0.38186224316729489</v>
      </c>
      <c r="Y86" t="s">
        <v>95</v>
      </c>
    </row>
    <row r="87" spans="1:25" x14ac:dyDescent="0.2">
      <c r="B87" t="s">
        <v>23</v>
      </c>
      <c r="C87" t="s">
        <v>175</v>
      </c>
      <c r="D87" t="s">
        <v>476</v>
      </c>
      <c r="E87" t="s">
        <v>843</v>
      </c>
      <c r="F87" s="10">
        <v>47940</v>
      </c>
      <c r="G87" s="10">
        <v>48060</v>
      </c>
      <c r="H87" s="3" t="s">
        <v>176</v>
      </c>
      <c r="I87" t="s">
        <v>38</v>
      </c>
      <c r="J87" s="2">
        <v>6</v>
      </c>
      <c r="K87" t="s">
        <v>606</v>
      </c>
      <c r="L87" s="31">
        <v>4</v>
      </c>
      <c r="M87" t="s">
        <v>57</v>
      </c>
      <c r="O87" s="12">
        <v>770953.69</v>
      </c>
      <c r="P87" s="12" t="s">
        <v>951</v>
      </c>
      <c r="Q87" s="20" t="s">
        <v>95</v>
      </c>
      <c r="R87" s="11" t="s">
        <v>95</v>
      </c>
      <c r="S87" s="11" t="s">
        <v>95</v>
      </c>
      <c r="T87" s="12" t="s">
        <v>95</v>
      </c>
      <c r="U87" s="12" t="s">
        <v>95</v>
      </c>
      <c r="V87" s="12" t="s">
        <v>95</v>
      </c>
      <c r="W87" s="21" t="s">
        <v>95</v>
      </c>
      <c r="X87" s="21" t="s">
        <v>95</v>
      </c>
      <c r="Y87" t="s">
        <v>95</v>
      </c>
    </row>
    <row r="88" spans="1:25" x14ac:dyDescent="0.2">
      <c r="B88" t="s">
        <v>23</v>
      </c>
      <c r="C88" t="s">
        <v>175</v>
      </c>
      <c r="D88" t="s">
        <v>357</v>
      </c>
      <c r="E88" t="s">
        <v>844</v>
      </c>
      <c r="F88" s="10">
        <v>48061</v>
      </c>
      <c r="G88" s="10">
        <v>48244</v>
      </c>
      <c r="H88" s="3" t="s">
        <v>358</v>
      </c>
      <c r="I88" t="s">
        <v>38</v>
      </c>
      <c r="J88" s="2">
        <v>7</v>
      </c>
      <c r="K88" t="s">
        <v>606</v>
      </c>
      <c r="L88" s="31">
        <v>6.1</v>
      </c>
      <c r="M88" t="s">
        <v>57</v>
      </c>
      <c r="O88" s="12">
        <v>770953.69</v>
      </c>
      <c r="P88" s="12" t="s">
        <v>951</v>
      </c>
      <c r="Q88" s="13" t="s">
        <v>95</v>
      </c>
      <c r="R88" s="11" t="s">
        <v>95</v>
      </c>
      <c r="S88" s="11" t="s">
        <v>95</v>
      </c>
      <c r="T88" s="12" t="s">
        <v>95</v>
      </c>
      <c r="U88" s="12" t="s">
        <v>95</v>
      </c>
      <c r="V88" s="12" t="s">
        <v>95</v>
      </c>
      <c r="W88" s="13" t="s">
        <v>95</v>
      </c>
      <c r="X88" s="23">
        <v>0.44195585665372528</v>
      </c>
      <c r="Y88" t="s">
        <v>95</v>
      </c>
    </row>
    <row r="89" spans="1:25" x14ac:dyDescent="0.2">
      <c r="B89" t="s">
        <v>131</v>
      </c>
      <c r="C89" t="s">
        <v>175</v>
      </c>
      <c r="D89" t="s">
        <v>395</v>
      </c>
      <c r="E89" t="s">
        <v>845</v>
      </c>
      <c r="F89" s="50">
        <v>46478</v>
      </c>
      <c r="G89" s="50">
        <v>46568</v>
      </c>
      <c r="H89" s="3" t="s">
        <v>67</v>
      </c>
      <c r="I89" t="s">
        <v>38</v>
      </c>
      <c r="J89" s="2">
        <v>7</v>
      </c>
      <c r="K89" t="s">
        <v>606</v>
      </c>
      <c r="L89" s="31">
        <v>3</v>
      </c>
      <c r="M89" t="s">
        <v>49</v>
      </c>
      <c r="N89" t="s">
        <v>410</v>
      </c>
      <c r="O89" s="12">
        <v>385476.85</v>
      </c>
      <c r="P89" s="12" t="s">
        <v>951</v>
      </c>
      <c r="Q89" s="20" t="s">
        <v>95</v>
      </c>
      <c r="R89" s="11" t="s">
        <v>95</v>
      </c>
      <c r="S89" s="11" t="s">
        <v>95</v>
      </c>
      <c r="T89" s="12" t="s">
        <v>95</v>
      </c>
      <c r="U89" s="12" t="s">
        <v>95</v>
      </c>
      <c r="V89" s="12" t="s">
        <v>95</v>
      </c>
      <c r="W89" s="21" t="s">
        <v>95</v>
      </c>
      <c r="X89" s="21">
        <v>9.8881276226545273E-2</v>
      </c>
      <c r="Y89" t="s">
        <v>95</v>
      </c>
    </row>
    <row r="90" spans="1:25" x14ac:dyDescent="0.2">
      <c r="B90" t="s">
        <v>23</v>
      </c>
      <c r="C90" t="s">
        <v>175</v>
      </c>
      <c r="D90" t="s">
        <v>71</v>
      </c>
      <c r="E90" t="s">
        <v>846</v>
      </c>
      <c r="F90" s="10">
        <v>47119</v>
      </c>
      <c r="G90" s="10">
        <v>47299</v>
      </c>
      <c r="H90" s="3" t="s">
        <v>144</v>
      </c>
      <c r="I90" t="s">
        <v>38</v>
      </c>
      <c r="J90" s="2">
        <v>7</v>
      </c>
      <c r="K90" t="s">
        <v>606</v>
      </c>
      <c r="L90" s="31">
        <v>6</v>
      </c>
      <c r="M90" t="s">
        <v>57</v>
      </c>
      <c r="N90" t="s">
        <v>456</v>
      </c>
      <c r="O90" s="12">
        <v>770953.69</v>
      </c>
      <c r="P90" s="12" t="s">
        <v>951</v>
      </c>
      <c r="Q90" s="28">
        <v>0</v>
      </c>
      <c r="R90" s="11" t="s">
        <v>95</v>
      </c>
      <c r="S90" s="11" t="s">
        <v>95</v>
      </c>
      <c r="T90" s="12" t="s">
        <v>95</v>
      </c>
      <c r="U90" s="12" t="s">
        <v>95</v>
      </c>
      <c r="V90" s="12" t="s">
        <v>95</v>
      </c>
      <c r="W90" s="21" t="s">
        <v>95</v>
      </c>
      <c r="X90" s="21">
        <v>0.54879953085814948</v>
      </c>
      <c r="Y90" t="s">
        <v>95</v>
      </c>
    </row>
    <row r="91" spans="1:25" x14ac:dyDescent="0.2">
      <c r="A91" t="s">
        <v>469</v>
      </c>
      <c r="B91" t="s">
        <v>23</v>
      </c>
      <c r="C91" t="s">
        <v>175</v>
      </c>
      <c r="D91" t="s">
        <v>461</v>
      </c>
      <c r="E91" t="s">
        <v>847</v>
      </c>
      <c r="F91" s="10">
        <v>47939</v>
      </c>
      <c r="G91" s="10">
        <v>48305</v>
      </c>
      <c r="H91" s="3" t="s">
        <v>190</v>
      </c>
      <c r="I91" t="s">
        <v>38</v>
      </c>
      <c r="J91" s="2">
        <v>7</v>
      </c>
      <c r="K91" t="s">
        <v>606</v>
      </c>
      <c r="L91" s="31">
        <v>12.2</v>
      </c>
      <c r="M91" t="s">
        <v>57</v>
      </c>
      <c r="O91" s="12">
        <v>770953.69</v>
      </c>
      <c r="P91" s="12" t="s">
        <v>951</v>
      </c>
      <c r="Q91" s="20" t="s">
        <v>95</v>
      </c>
      <c r="R91" s="11" t="s">
        <v>95</v>
      </c>
      <c r="S91" s="11" t="s">
        <v>95</v>
      </c>
      <c r="T91" s="12" t="s">
        <v>95</v>
      </c>
      <c r="U91" s="12" t="s">
        <v>95</v>
      </c>
      <c r="V91" s="12" t="s">
        <v>95</v>
      </c>
      <c r="W91" s="21" t="s">
        <v>95</v>
      </c>
      <c r="X91" s="21">
        <v>0.38186224316729489</v>
      </c>
      <c r="Y91" t="s">
        <v>95</v>
      </c>
    </row>
    <row r="92" spans="1:25" x14ac:dyDescent="0.2">
      <c r="B92" t="s">
        <v>23</v>
      </c>
      <c r="C92" t="s">
        <v>175</v>
      </c>
      <c r="D92" t="s">
        <v>476</v>
      </c>
      <c r="E92" t="s">
        <v>848</v>
      </c>
      <c r="F92" s="10">
        <v>48306</v>
      </c>
      <c r="G92" s="10">
        <v>48426</v>
      </c>
      <c r="H92" s="3" t="s">
        <v>176</v>
      </c>
      <c r="I92" t="s">
        <v>38</v>
      </c>
      <c r="J92" s="2">
        <v>7</v>
      </c>
      <c r="K92" t="s">
        <v>606</v>
      </c>
      <c r="L92" s="31">
        <v>4</v>
      </c>
      <c r="M92" t="s">
        <v>57</v>
      </c>
      <c r="O92" s="12">
        <v>770953.69</v>
      </c>
      <c r="P92" s="12" t="s">
        <v>951</v>
      </c>
      <c r="Q92" s="20" t="s">
        <v>95</v>
      </c>
      <c r="R92" s="11" t="s">
        <v>95</v>
      </c>
      <c r="S92" s="11" t="s">
        <v>95</v>
      </c>
      <c r="T92" s="12" t="s">
        <v>95</v>
      </c>
      <c r="U92" s="12" t="s">
        <v>95</v>
      </c>
      <c r="V92" s="12" t="s">
        <v>95</v>
      </c>
      <c r="W92" s="21" t="s">
        <v>95</v>
      </c>
      <c r="X92" s="21" t="s">
        <v>95</v>
      </c>
      <c r="Y92" t="s">
        <v>95</v>
      </c>
    </row>
    <row r="93" spans="1:25" x14ac:dyDescent="0.2">
      <c r="B93" t="s">
        <v>23</v>
      </c>
      <c r="C93" t="s">
        <v>175</v>
      </c>
      <c r="D93" t="s">
        <v>357</v>
      </c>
      <c r="E93" t="s">
        <v>849</v>
      </c>
      <c r="F93" s="10">
        <v>48427</v>
      </c>
      <c r="G93" s="10">
        <v>48610</v>
      </c>
      <c r="H93" s="3" t="s">
        <v>358</v>
      </c>
      <c r="I93" t="s">
        <v>38</v>
      </c>
      <c r="J93" s="2">
        <v>8</v>
      </c>
      <c r="K93" t="s">
        <v>606</v>
      </c>
      <c r="L93" s="31">
        <v>6.1</v>
      </c>
      <c r="M93" t="s">
        <v>57</v>
      </c>
      <c r="O93" s="12">
        <v>770953.69</v>
      </c>
      <c r="P93" s="12" t="s">
        <v>951</v>
      </c>
      <c r="Q93" s="13" t="s">
        <v>95</v>
      </c>
      <c r="R93" s="11" t="s">
        <v>95</v>
      </c>
      <c r="S93" s="11" t="s">
        <v>95</v>
      </c>
      <c r="T93" s="12" t="s">
        <v>95</v>
      </c>
      <c r="U93" s="12" t="s">
        <v>95</v>
      </c>
      <c r="V93" s="12" t="s">
        <v>95</v>
      </c>
      <c r="W93" s="13" t="s">
        <v>95</v>
      </c>
      <c r="X93" s="23">
        <v>0.44195585665372528</v>
      </c>
      <c r="Y93" t="s">
        <v>95</v>
      </c>
    </row>
    <row r="94" spans="1:25" x14ac:dyDescent="0.2">
      <c r="B94" t="s">
        <v>131</v>
      </c>
      <c r="C94" t="s">
        <v>175</v>
      </c>
      <c r="D94" t="s">
        <v>149</v>
      </c>
      <c r="E94" t="s">
        <v>850</v>
      </c>
      <c r="F94" s="53">
        <v>46295</v>
      </c>
      <c r="G94" s="53">
        <v>46475</v>
      </c>
      <c r="H94" s="3" t="s">
        <v>139</v>
      </c>
      <c r="I94" t="s">
        <v>38</v>
      </c>
      <c r="J94" s="2">
        <v>8</v>
      </c>
      <c r="K94" t="s">
        <v>606</v>
      </c>
      <c r="L94" s="31">
        <v>6</v>
      </c>
      <c r="M94" t="s">
        <v>57</v>
      </c>
      <c r="O94" s="12">
        <v>770953.69</v>
      </c>
      <c r="P94" s="12" t="s">
        <v>951</v>
      </c>
      <c r="Q94" s="13" t="s">
        <v>95</v>
      </c>
      <c r="R94" s="11" t="s">
        <v>95</v>
      </c>
      <c r="S94" s="11" t="s">
        <v>95</v>
      </c>
      <c r="T94" s="12" t="s">
        <v>95</v>
      </c>
      <c r="U94" s="12" t="s">
        <v>95</v>
      </c>
      <c r="V94" s="12" t="s">
        <v>95</v>
      </c>
      <c r="W94" s="21" t="s">
        <v>95</v>
      </c>
      <c r="X94" s="21">
        <v>0.44084891187851694</v>
      </c>
      <c r="Y94" t="s">
        <v>95</v>
      </c>
    </row>
    <row r="95" spans="1:25" x14ac:dyDescent="0.2">
      <c r="B95" t="s">
        <v>131</v>
      </c>
      <c r="C95" t="s">
        <v>175</v>
      </c>
      <c r="D95" t="s">
        <v>395</v>
      </c>
      <c r="E95" t="s">
        <v>851</v>
      </c>
      <c r="F95" s="50">
        <v>46569</v>
      </c>
      <c r="G95" s="50">
        <v>46660</v>
      </c>
      <c r="H95" s="3" t="s">
        <v>67</v>
      </c>
      <c r="I95" t="s">
        <v>38</v>
      </c>
      <c r="J95" s="2">
        <v>8</v>
      </c>
      <c r="K95" t="s">
        <v>606</v>
      </c>
      <c r="L95" s="31">
        <v>3.0333333333333332</v>
      </c>
      <c r="M95" t="s">
        <v>49</v>
      </c>
      <c r="N95" t="s">
        <v>412</v>
      </c>
      <c r="O95" s="12">
        <v>385476.85</v>
      </c>
      <c r="P95" s="12" t="s">
        <v>951</v>
      </c>
      <c r="Q95" s="20" t="s">
        <v>95</v>
      </c>
      <c r="R95" s="11" t="s">
        <v>95</v>
      </c>
      <c r="S95" s="11" t="s">
        <v>95</v>
      </c>
      <c r="T95" s="12" t="s">
        <v>95</v>
      </c>
      <c r="U95" s="12" t="s">
        <v>95</v>
      </c>
      <c r="V95" s="12" t="s">
        <v>95</v>
      </c>
      <c r="W95" s="21" t="s">
        <v>95</v>
      </c>
      <c r="X95" s="21">
        <v>9.8881276226545273E-2</v>
      </c>
      <c r="Y95" t="s">
        <v>95</v>
      </c>
    </row>
    <row r="96" spans="1:25" x14ac:dyDescent="0.2">
      <c r="A96" t="s">
        <v>464</v>
      </c>
      <c r="B96" t="s">
        <v>23</v>
      </c>
      <c r="C96" t="s">
        <v>175</v>
      </c>
      <c r="D96" t="s">
        <v>461</v>
      </c>
      <c r="E96" t="s">
        <v>852</v>
      </c>
      <c r="F96" s="19">
        <v>47574</v>
      </c>
      <c r="G96" s="19">
        <v>47757</v>
      </c>
      <c r="H96" s="3" t="s">
        <v>190</v>
      </c>
      <c r="I96" t="s">
        <v>38</v>
      </c>
      <c r="J96" s="2">
        <v>8</v>
      </c>
      <c r="K96" t="s">
        <v>606</v>
      </c>
      <c r="L96" s="32">
        <v>6.1</v>
      </c>
      <c r="M96" s="15" t="s">
        <v>57</v>
      </c>
      <c r="N96" t="s">
        <v>466</v>
      </c>
      <c r="O96" s="12">
        <v>770953.69</v>
      </c>
      <c r="P96" s="12">
        <v>6979824.504897289</v>
      </c>
      <c r="Q96" s="20">
        <v>8.0534938679614978</v>
      </c>
      <c r="R96" s="11">
        <v>125</v>
      </c>
      <c r="S96" s="11">
        <v>1134</v>
      </c>
      <c r="T96" s="12">
        <v>6979824.504897289</v>
      </c>
      <c r="U96" s="12">
        <v>63452950</v>
      </c>
      <c r="V96" s="12">
        <v>56473125.495102711</v>
      </c>
      <c r="W96" s="21">
        <v>0.11022927689594356</v>
      </c>
      <c r="X96" s="21">
        <v>0.38186224316729489</v>
      </c>
      <c r="Y96" t="s">
        <v>95</v>
      </c>
    </row>
    <row r="97" spans="1:25" x14ac:dyDescent="0.2">
      <c r="B97" t="s">
        <v>23</v>
      </c>
      <c r="C97" t="s">
        <v>175</v>
      </c>
      <c r="D97" t="s">
        <v>476</v>
      </c>
      <c r="E97" t="s">
        <v>853</v>
      </c>
      <c r="F97" s="10">
        <v>47758</v>
      </c>
      <c r="G97" s="10">
        <v>47879</v>
      </c>
      <c r="H97" s="3" t="s">
        <v>176</v>
      </c>
      <c r="I97" t="s">
        <v>38</v>
      </c>
      <c r="J97" s="2">
        <v>8</v>
      </c>
      <c r="K97" t="s">
        <v>606</v>
      </c>
      <c r="L97" s="31">
        <v>4.0333333333333332</v>
      </c>
      <c r="M97" t="s">
        <v>57</v>
      </c>
      <c r="O97" s="12">
        <v>770953.69</v>
      </c>
      <c r="P97" s="12" t="s">
        <v>951</v>
      </c>
      <c r="Q97" s="20" t="s">
        <v>95</v>
      </c>
      <c r="R97" s="11" t="s">
        <v>95</v>
      </c>
      <c r="S97" s="11" t="s">
        <v>95</v>
      </c>
      <c r="T97" s="12" t="s">
        <v>95</v>
      </c>
      <c r="U97" s="12" t="s">
        <v>95</v>
      </c>
      <c r="V97" s="12" t="s">
        <v>95</v>
      </c>
      <c r="W97" s="21" t="s">
        <v>95</v>
      </c>
      <c r="X97" s="21" t="s">
        <v>95</v>
      </c>
      <c r="Y97" t="s">
        <v>95</v>
      </c>
    </row>
    <row r="98" spans="1:25" x14ac:dyDescent="0.2">
      <c r="B98" t="s">
        <v>23</v>
      </c>
      <c r="C98" t="s">
        <v>175</v>
      </c>
      <c r="D98" t="s">
        <v>326</v>
      </c>
      <c r="E98" t="s">
        <v>854</v>
      </c>
      <c r="F98" s="51">
        <v>46388</v>
      </c>
      <c r="G98" s="51">
        <v>46477</v>
      </c>
      <c r="H98" s="3" t="s">
        <v>139</v>
      </c>
      <c r="I98" t="s">
        <v>38</v>
      </c>
      <c r="J98" s="2">
        <v>9</v>
      </c>
      <c r="K98" t="s">
        <v>606</v>
      </c>
      <c r="L98" s="31">
        <v>2.9666666666666668</v>
      </c>
      <c r="M98" t="s">
        <v>57</v>
      </c>
      <c r="O98" s="12">
        <v>770953.69</v>
      </c>
      <c r="P98" s="12" t="s">
        <v>951</v>
      </c>
      <c r="Q98" s="13" t="s">
        <v>95</v>
      </c>
      <c r="R98" s="11" t="s">
        <v>95</v>
      </c>
      <c r="S98" s="11" t="s">
        <v>95</v>
      </c>
      <c r="T98" s="12" t="s">
        <v>95</v>
      </c>
      <c r="U98" s="12" t="s">
        <v>95</v>
      </c>
      <c r="V98" s="12" t="s">
        <v>95</v>
      </c>
      <c r="W98" s="13" t="s">
        <v>95</v>
      </c>
      <c r="X98" s="23">
        <v>0.44084891187851694</v>
      </c>
      <c r="Y98" t="s">
        <v>95</v>
      </c>
    </row>
    <row r="99" spans="1:25" x14ac:dyDescent="0.2">
      <c r="B99" t="s">
        <v>131</v>
      </c>
      <c r="C99" t="s">
        <v>175</v>
      </c>
      <c r="D99" t="s">
        <v>395</v>
      </c>
      <c r="E99" t="s">
        <v>855</v>
      </c>
      <c r="F99" s="10">
        <v>46661</v>
      </c>
      <c r="G99" s="10">
        <v>46843</v>
      </c>
      <c r="H99" s="3" t="s">
        <v>67</v>
      </c>
      <c r="I99" t="s">
        <v>38</v>
      </c>
      <c r="J99" s="2">
        <v>9</v>
      </c>
      <c r="K99" t="s">
        <v>606</v>
      </c>
      <c r="L99" s="31">
        <v>6.0666666666666664</v>
      </c>
      <c r="M99" t="s">
        <v>57</v>
      </c>
      <c r="N99" t="s">
        <v>414</v>
      </c>
      <c r="O99" s="12">
        <v>770953.69</v>
      </c>
      <c r="P99" s="12" t="s">
        <v>951</v>
      </c>
      <c r="Q99" s="20" t="s">
        <v>95</v>
      </c>
      <c r="R99" s="11" t="s">
        <v>95</v>
      </c>
      <c r="S99" s="11" t="s">
        <v>95</v>
      </c>
      <c r="T99" s="12" t="s">
        <v>95</v>
      </c>
      <c r="U99" s="12" t="s">
        <v>95</v>
      </c>
      <c r="V99" s="12" t="s">
        <v>95</v>
      </c>
      <c r="W99" s="21" t="s">
        <v>95</v>
      </c>
      <c r="X99" s="21">
        <v>9.8881276226545273E-2</v>
      </c>
      <c r="Y99" t="s">
        <v>95</v>
      </c>
    </row>
    <row r="100" spans="1:25" x14ac:dyDescent="0.2">
      <c r="B100" t="s">
        <v>23</v>
      </c>
      <c r="C100" t="s">
        <v>175</v>
      </c>
      <c r="D100" t="s">
        <v>476</v>
      </c>
      <c r="E100" t="s">
        <v>856</v>
      </c>
      <c r="F100" s="10">
        <v>46844</v>
      </c>
      <c r="G100" s="10">
        <v>46965</v>
      </c>
      <c r="H100" s="3" t="s">
        <v>176</v>
      </c>
      <c r="I100" t="s">
        <v>38</v>
      </c>
      <c r="J100" s="2">
        <v>9</v>
      </c>
      <c r="K100" t="s">
        <v>606</v>
      </c>
      <c r="L100" s="31">
        <v>4.0333333333333332</v>
      </c>
      <c r="M100" t="s">
        <v>57</v>
      </c>
      <c r="O100" s="12">
        <v>770953.69</v>
      </c>
      <c r="P100" s="12" t="s">
        <v>951</v>
      </c>
      <c r="Q100" s="20" t="s">
        <v>95</v>
      </c>
      <c r="R100" s="11" t="s">
        <v>95</v>
      </c>
      <c r="S100" s="11" t="s">
        <v>95</v>
      </c>
      <c r="T100" s="12" t="s">
        <v>95</v>
      </c>
      <c r="U100" s="12" t="s">
        <v>95</v>
      </c>
      <c r="V100" s="12" t="s">
        <v>95</v>
      </c>
      <c r="W100" s="21" t="s">
        <v>95</v>
      </c>
      <c r="X100" s="21" t="s">
        <v>95</v>
      </c>
      <c r="Y100" t="s">
        <v>213</v>
      </c>
    </row>
    <row r="101" spans="1:25" x14ac:dyDescent="0.2">
      <c r="B101" t="s">
        <v>23</v>
      </c>
      <c r="C101" t="s">
        <v>175</v>
      </c>
      <c r="D101" t="s">
        <v>326</v>
      </c>
      <c r="E101" t="s">
        <v>857</v>
      </c>
      <c r="F101" s="51">
        <v>46478</v>
      </c>
      <c r="G101" s="51">
        <v>46660</v>
      </c>
      <c r="H101" s="3" t="s">
        <v>142</v>
      </c>
      <c r="I101" t="s">
        <v>38</v>
      </c>
      <c r="J101" s="2">
        <v>10</v>
      </c>
      <c r="K101" t="s">
        <v>606</v>
      </c>
      <c r="L101" s="31">
        <v>6.0666666666666664</v>
      </c>
      <c r="M101" t="s">
        <v>57</v>
      </c>
      <c r="O101" s="12">
        <v>770953.69</v>
      </c>
      <c r="P101" s="12" t="s">
        <v>951</v>
      </c>
      <c r="Q101" s="13" t="s">
        <v>95</v>
      </c>
      <c r="R101" s="11" t="s">
        <v>95</v>
      </c>
      <c r="S101" s="11" t="s">
        <v>95</v>
      </c>
      <c r="T101" s="12" t="s">
        <v>95</v>
      </c>
      <c r="U101" s="12" t="s">
        <v>95</v>
      </c>
      <c r="V101" s="12" t="s">
        <v>95</v>
      </c>
      <c r="W101" s="13" t="s">
        <v>95</v>
      </c>
      <c r="X101" s="23">
        <v>0.36658831145909704</v>
      </c>
      <c r="Y101" t="s">
        <v>220</v>
      </c>
    </row>
    <row r="102" spans="1:25" x14ac:dyDescent="0.2">
      <c r="B102" t="s">
        <v>131</v>
      </c>
      <c r="C102" t="s">
        <v>175</v>
      </c>
      <c r="D102" t="s">
        <v>395</v>
      </c>
      <c r="E102" t="s">
        <v>858</v>
      </c>
      <c r="F102" s="10">
        <v>46844</v>
      </c>
      <c r="G102" s="10">
        <v>47208</v>
      </c>
      <c r="H102" s="3" t="s">
        <v>67</v>
      </c>
      <c r="I102" t="s">
        <v>38</v>
      </c>
      <c r="J102" s="2">
        <v>10</v>
      </c>
      <c r="K102" t="s">
        <v>606</v>
      </c>
      <c r="L102" s="31">
        <v>12</v>
      </c>
      <c r="M102" t="s">
        <v>151</v>
      </c>
      <c r="N102" t="s">
        <v>416</v>
      </c>
      <c r="O102" s="12">
        <v>1541907.39</v>
      </c>
      <c r="P102" s="12" t="s">
        <v>951</v>
      </c>
      <c r="Q102" s="20" t="s">
        <v>95</v>
      </c>
      <c r="R102" s="11" t="s">
        <v>95</v>
      </c>
      <c r="S102" s="11" t="s">
        <v>95</v>
      </c>
      <c r="T102" s="12" t="s">
        <v>95</v>
      </c>
      <c r="U102" s="12" t="s">
        <v>95</v>
      </c>
      <c r="V102" s="12" t="s">
        <v>95</v>
      </c>
      <c r="W102" s="21" t="s">
        <v>95</v>
      </c>
      <c r="X102" s="21">
        <v>9.8881276226545273E-2</v>
      </c>
      <c r="Y102" t="s">
        <v>217</v>
      </c>
    </row>
    <row r="103" spans="1:25" x14ac:dyDescent="0.2">
      <c r="B103" t="s">
        <v>23</v>
      </c>
      <c r="C103" t="s">
        <v>175</v>
      </c>
      <c r="D103" t="s">
        <v>476</v>
      </c>
      <c r="E103" t="s">
        <v>859</v>
      </c>
      <c r="F103" s="10">
        <v>47209</v>
      </c>
      <c r="G103" s="10">
        <v>47330</v>
      </c>
      <c r="H103" s="3" t="s">
        <v>176</v>
      </c>
      <c r="I103" t="s">
        <v>38</v>
      </c>
      <c r="J103" s="2">
        <v>10</v>
      </c>
      <c r="K103" t="s">
        <v>606</v>
      </c>
      <c r="L103" s="31">
        <v>4.0333333333333332</v>
      </c>
      <c r="M103" t="s">
        <v>57</v>
      </c>
      <c r="O103" s="12">
        <v>770953.69</v>
      </c>
      <c r="P103" s="12" t="s">
        <v>951</v>
      </c>
      <c r="Q103" s="20" t="s">
        <v>95</v>
      </c>
      <c r="R103" s="11" t="s">
        <v>95</v>
      </c>
      <c r="S103" s="11" t="s">
        <v>95</v>
      </c>
      <c r="T103" s="12" t="s">
        <v>95</v>
      </c>
      <c r="U103" s="12" t="s">
        <v>95</v>
      </c>
      <c r="V103" s="12" t="s">
        <v>95</v>
      </c>
      <c r="W103" s="21" t="s">
        <v>95</v>
      </c>
      <c r="X103" s="21" t="s">
        <v>95</v>
      </c>
      <c r="Y103" t="s">
        <v>95</v>
      </c>
    </row>
    <row r="104" spans="1:25" x14ac:dyDescent="0.2">
      <c r="B104" t="s">
        <v>23</v>
      </c>
      <c r="C104" t="s">
        <v>175</v>
      </c>
      <c r="D104" t="s">
        <v>326</v>
      </c>
      <c r="E104" t="s">
        <v>860</v>
      </c>
      <c r="F104" s="51">
        <v>46661</v>
      </c>
      <c r="G104" s="51">
        <v>46752</v>
      </c>
      <c r="H104" s="3" t="s">
        <v>334</v>
      </c>
      <c r="I104" t="s">
        <v>38</v>
      </c>
      <c r="J104" s="2">
        <v>11</v>
      </c>
      <c r="K104" t="s">
        <v>606</v>
      </c>
      <c r="L104" s="31">
        <v>3.0333333333333332</v>
      </c>
      <c r="M104" t="s">
        <v>57</v>
      </c>
      <c r="O104" s="12">
        <v>770953.69</v>
      </c>
      <c r="P104" s="12" t="s">
        <v>951</v>
      </c>
      <c r="Q104" s="13" t="s">
        <v>95</v>
      </c>
      <c r="R104" s="11" t="s">
        <v>95</v>
      </c>
      <c r="S104" s="11" t="s">
        <v>95</v>
      </c>
      <c r="T104" s="12" t="s">
        <v>95</v>
      </c>
      <c r="U104" s="12" t="s">
        <v>95</v>
      </c>
      <c r="V104" s="12" t="s">
        <v>95</v>
      </c>
      <c r="W104" s="13" t="s">
        <v>95</v>
      </c>
      <c r="X104" s="23">
        <v>4.721572846082131E-2</v>
      </c>
      <c r="Y104" t="s">
        <v>95</v>
      </c>
    </row>
    <row r="105" spans="1:25" x14ac:dyDescent="0.2">
      <c r="A105" t="s">
        <v>417</v>
      </c>
      <c r="B105" t="s">
        <v>131</v>
      </c>
      <c r="C105" t="s">
        <v>175</v>
      </c>
      <c r="D105" t="s">
        <v>395</v>
      </c>
      <c r="E105" t="s">
        <v>861</v>
      </c>
      <c r="F105" s="10">
        <v>47209</v>
      </c>
      <c r="G105" s="10">
        <v>47391</v>
      </c>
      <c r="H105" s="3" t="s">
        <v>67</v>
      </c>
      <c r="I105" t="s">
        <v>38</v>
      </c>
      <c r="J105" s="2">
        <v>11</v>
      </c>
      <c r="K105" t="s">
        <v>606</v>
      </c>
      <c r="L105" s="31">
        <v>6.0666666666666664</v>
      </c>
      <c r="M105" t="s">
        <v>57</v>
      </c>
      <c r="N105" t="s">
        <v>418</v>
      </c>
      <c r="O105" s="12">
        <v>770953.69</v>
      </c>
      <c r="P105" s="12">
        <v>0</v>
      </c>
      <c r="Q105" s="20">
        <v>-1</v>
      </c>
      <c r="R105" s="11" t="s">
        <v>95</v>
      </c>
      <c r="S105" s="11">
        <v>0</v>
      </c>
      <c r="T105" s="12">
        <v>0</v>
      </c>
      <c r="U105" s="12">
        <v>0</v>
      </c>
      <c r="V105" s="12">
        <v>0</v>
      </c>
      <c r="W105" s="21" t="s">
        <v>95</v>
      </c>
      <c r="X105" s="21">
        <v>9.8881276226545273E-2</v>
      </c>
      <c r="Y105" t="s">
        <v>95</v>
      </c>
    </row>
    <row r="106" spans="1:25" x14ac:dyDescent="0.2">
      <c r="B106" t="s">
        <v>23</v>
      </c>
      <c r="C106" t="s">
        <v>175</v>
      </c>
      <c r="D106" t="s">
        <v>326</v>
      </c>
      <c r="E106" t="s">
        <v>862</v>
      </c>
      <c r="F106" s="51">
        <v>46753</v>
      </c>
      <c r="G106" s="51">
        <v>46934</v>
      </c>
      <c r="H106" s="3" t="s">
        <v>334</v>
      </c>
      <c r="I106" t="s">
        <v>38</v>
      </c>
      <c r="J106" s="2">
        <v>12</v>
      </c>
      <c r="K106" t="s">
        <v>606</v>
      </c>
      <c r="L106" s="31">
        <v>6.0333333333333332</v>
      </c>
      <c r="M106" t="s">
        <v>57</v>
      </c>
      <c r="O106" s="12">
        <v>770953.69</v>
      </c>
      <c r="P106" s="12" t="s">
        <v>951</v>
      </c>
      <c r="Q106" s="13" t="s">
        <v>95</v>
      </c>
      <c r="R106" s="11" t="s">
        <v>95</v>
      </c>
      <c r="S106" s="11" t="s">
        <v>95</v>
      </c>
      <c r="T106" s="12" t="s">
        <v>95</v>
      </c>
      <c r="U106" s="12" t="s">
        <v>95</v>
      </c>
      <c r="V106" s="12" t="s">
        <v>95</v>
      </c>
      <c r="W106" s="13" t="s">
        <v>95</v>
      </c>
      <c r="X106" s="23">
        <v>4.721572846082131E-2</v>
      </c>
      <c r="Y106" t="s">
        <v>95</v>
      </c>
    </row>
    <row r="107" spans="1:25" x14ac:dyDescent="0.2">
      <c r="A107" t="s">
        <v>419</v>
      </c>
      <c r="B107" t="s">
        <v>131</v>
      </c>
      <c r="C107" t="s">
        <v>175</v>
      </c>
      <c r="D107" t="s">
        <v>395</v>
      </c>
      <c r="E107" t="s">
        <v>863</v>
      </c>
      <c r="F107" s="10">
        <v>46935</v>
      </c>
      <c r="G107" s="10">
        <v>47118</v>
      </c>
      <c r="H107" s="3" t="s">
        <v>67</v>
      </c>
      <c r="I107" t="s">
        <v>38</v>
      </c>
      <c r="J107" s="2">
        <v>12</v>
      </c>
      <c r="K107" t="s">
        <v>606</v>
      </c>
      <c r="L107" s="31">
        <v>6.1</v>
      </c>
      <c r="M107" t="s">
        <v>57</v>
      </c>
      <c r="N107" t="s">
        <v>420</v>
      </c>
      <c r="O107" s="12">
        <v>770953.69</v>
      </c>
      <c r="P107" s="12">
        <v>1366040.3467259726</v>
      </c>
      <c r="Q107" s="20">
        <v>0.77188379074490543</v>
      </c>
      <c r="R107" s="11">
        <v>15</v>
      </c>
      <c r="S107" s="11">
        <v>77</v>
      </c>
      <c r="T107" s="12">
        <v>1366040.3467259726</v>
      </c>
      <c r="U107" s="12">
        <v>6830202</v>
      </c>
      <c r="V107" s="12">
        <v>5464161.6532740276</v>
      </c>
      <c r="W107" s="21">
        <v>0.19480519480519481</v>
      </c>
      <c r="X107" s="21">
        <v>9.8881276226545273E-2</v>
      </c>
      <c r="Y107" t="s">
        <v>95</v>
      </c>
    </row>
    <row r="108" spans="1:25" x14ac:dyDescent="0.2">
      <c r="A108" t="s">
        <v>333</v>
      </c>
      <c r="B108" t="s">
        <v>23</v>
      </c>
      <c r="C108" t="s">
        <v>175</v>
      </c>
      <c r="D108" t="s">
        <v>326</v>
      </c>
      <c r="E108" t="s">
        <v>864</v>
      </c>
      <c r="F108" s="51">
        <v>46935</v>
      </c>
      <c r="G108" s="51">
        <v>47026</v>
      </c>
      <c r="H108" s="3" t="s">
        <v>139</v>
      </c>
      <c r="I108" t="s">
        <v>38</v>
      </c>
      <c r="J108" s="2">
        <v>13</v>
      </c>
      <c r="K108" t="s">
        <v>606</v>
      </c>
      <c r="L108" s="31">
        <v>3.0333333333333332</v>
      </c>
      <c r="M108" t="s">
        <v>57</v>
      </c>
      <c r="O108" s="12">
        <v>1179602.1515384614</v>
      </c>
      <c r="P108" s="12">
        <v>1923076.923076923</v>
      </c>
      <c r="Q108" s="13">
        <v>0.63027586934188484</v>
      </c>
      <c r="R108" s="11">
        <v>25</v>
      </c>
      <c r="S108" s="11">
        <v>100</v>
      </c>
      <c r="T108" s="12">
        <v>1435874.5430198673</v>
      </c>
      <c r="U108" s="12">
        <v>5743498</v>
      </c>
      <c r="V108" s="12">
        <v>4307623.4569801325</v>
      </c>
      <c r="W108" s="13">
        <v>0.25</v>
      </c>
      <c r="X108" s="23">
        <v>0.44084891187851694</v>
      </c>
      <c r="Y108" t="s">
        <v>95</v>
      </c>
    </row>
    <row r="109" spans="1:25" x14ac:dyDescent="0.2">
      <c r="A109" s="15" t="s">
        <v>421</v>
      </c>
      <c r="B109" t="s">
        <v>131</v>
      </c>
      <c r="C109" t="s">
        <v>175</v>
      </c>
      <c r="D109" t="s">
        <v>395</v>
      </c>
      <c r="E109" t="s">
        <v>865</v>
      </c>
      <c r="F109" s="10">
        <v>47574</v>
      </c>
      <c r="G109" s="10">
        <v>47664</v>
      </c>
      <c r="H109" s="3" t="s">
        <v>67</v>
      </c>
      <c r="I109" t="s">
        <v>38</v>
      </c>
      <c r="J109" s="2">
        <v>13</v>
      </c>
      <c r="K109" t="s">
        <v>606</v>
      </c>
      <c r="L109" s="31">
        <v>3</v>
      </c>
      <c r="M109" t="s">
        <v>49</v>
      </c>
      <c r="N109" t="s">
        <v>422</v>
      </c>
      <c r="O109" s="12">
        <v>385476.85</v>
      </c>
      <c r="P109" s="12">
        <v>1366040.3467259726</v>
      </c>
      <c r="Q109" s="20">
        <v>2.5437675355237874</v>
      </c>
      <c r="R109" s="11">
        <v>15</v>
      </c>
      <c r="S109" s="11">
        <v>77</v>
      </c>
      <c r="T109" s="12">
        <v>1366040.3467259726</v>
      </c>
      <c r="U109" s="12">
        <v>6830202</v>
      </c>
      <c r="V109" s="12">
        <v>5464161.6532740276</v>
      </c>
      <c r="W109" s="21">
        <v>0.19480519480519481</v>
      </c>
      <c r="X109" s="21">
        <v>9.8881276226545273E-2</v>
      </c>
      <c r="Y109" t="s">
        <v>228</v>
      </c>
    </row>
    <row r="110" spans="1:25" x14ac:dyDescent="0.2">
      <c r="A110" s="15" t="s">
        <v>423</v>
      </c>
      <c r="B110" t="s">
        <v>131</v>
      </c>
      <c r="C110" t="s">
        <v>175</v>
      </c>
      <c r="D110" t="s">
        <v>395</v>
      </c>
      <c r="E110" t="s">
        <v>866</v>
      </c>
      <c r="F110" s="10">
        <v>47665</v>
      </c>
      <c r="G110" s="10">
        <v>47848</v>
      </c>
      <c r="H110" s="3" t="s">
        <v>67</v>
      </c>
      <c r="I110" t="s">
        <v>38</v>
      </c>
      <c r="J110" s="2">
        <v>14</v>
      </c>
      <c r="K110" t="s">
        <v>606</v>
      </c>
      <c r="L110" s="31">
        <v>6.1</v>
      </c>
      <c r="M110" t="s">
        <v>57</v>
      </c>
      <c r="N110" t="s">
        <v>424</v>
      </c>
      <c r="O110" s="12">
        <v>770953.69</v>
      </c>
      <c r="P110" s="12">
        <v>546416.13869038911</v>
      </c>
      <c r="Q110" s="20">
        <v>-0.29124648370203771</v>
      </c>
      <c r="R110" s="11">
        <v>6</v>
      </c>
      <c r="S110" s="11">
        <v>62</v>
      </c>
      <c r="T110" s="12">
        <v>546416.13869038911</v>
      </c>
      <c r="U110" s="12">
        <v>5464161</v>
      </c>
      <c r="V110" s="12">
        <v>4917744.8613096112</v>
      </c>
      <c r="W110" s="21">
        <v>9.6774193548387094E-2</v>
      </c>
      <c r="X110" s="21">
        <v>9.8881276226545273E-2</v>
      </c>
      <c r="Y110" t="s">
        <v>109</v>
      </c>
    </row>
    <row r="111" spans="1:25" x14ac:dyDescent="0.2">
      <c r="A111" s="15" t="s">
        <v>425</v>
      </c>
      <c r="B111" t="s">
        <v>131</v>
      </c>
      <c r="C111" t="s">
        <v>175</v>
      </c>
      <c r="D111" t="s">
        <v>395</v>
      </c>
      <c r="E111" t="s">
        <v>867</v>
      </c>
      <c r="F111" s="10">
        <v>47849</v>
      </c>
      <c r="G111" s="10">
        <v>47938</v>
      </c>
      <c r="H111" s="3" t="s">
        <v>67</v>
      </c>
      <c r="I111" t="s">
        <v>38</v>
      </c>
      <c r="J111" s="2">
        <v>15</v>
      </c>
      <c r="K111" t="s">
        <v>606</v>
      </c>
      <c r="L111" s="31">
        <v>2.9666666666666668</v>
      </c>
      <c r="M111" t="s">
        <v>49</v>
      </c>
      <c r="N111" t="s">
        <v>426</v>
      </c>
      <c r="O111" s="12">
        <v>385476.85</v>
      </c>
      <c r="P111" s="12">
        <v>437132.91095231124</v>
      </c>
      <c r="Q111" s="20">
        <v>0.13400561136761199</v>
      </c>
      <c r="R111" s="11">
        <v>5</v>
      </c>
      <c r="S111" s="11">
        <v>62</v>
      </c>
      <c r="T111" s="12">
        <v>437132.91095231124</v>
      </c>
      <c r="U111" s="12">
        <v>5464161</v>
      </c>
      <c r="V111" s="12">
        <v>5027028.089047689</v>
      </c>
      <c r="W111" s="21">
        <v>8.0645161290322578E-2</v>
      </c>
      <c r="X111" s="21">
        <v>9.8881276226545273E-2</v>
      </c>
      <c r="Y111" t="s">
        <v>111</v>
      </c>
    </row>
    <row r="112" spans="1:25" x14ac:dyDescent="0.2">
      <c r="A112" s="15" t="s">
        <v>427</v>
      </c>
      <c r="B112" t="s">
        <v>131</v>
      </c>
      <c r="C112" t="s">
        <v>175</v>
      </c>
      <c r="D112" t="s">
        <v>395</v>
      </c>
      <c r="E112" t="s">
        <v>868</v>
      </c>
      <c r="F112" s="10">
        <v>47939</v>
      </c>
      <c r="G112" s="10">
        <v>48029</v>
      </c>
      <c r="H112" s="3" t="s">
        <v>67</v>
      </c>
      <c r="I112" t="s">
        <v>38</v>
      </c>
      <c r="J112" s="2">
        <v>16</v>
      </c>
      <c r="K112" t="s">
        <v>606</v>
      </c>
      <c r="L112" s="31">
        <v>3</v>
      </c>
      <c r="M112" t="s">
        <v>49</v>
      </c>
      <c r="N112" t="s">
        <v>428</v>
      </c>
      <c r="O112" s="12">
        <v>385476.85</v>
      </c>
      <c r="P112" s="12">
        <v>273208.06934519456</v>
      </c>
      <c r="Q112" s="20">
        <v>-0.2912464928952424</v>
      </c>
      <c r="R112" s="11">
        <v>3</v>
      </c>
      <c r="S112" s="11">
        <v>62</v>
      </c>
      <c r="T112" s="12">
        <v>273208.06934519456</v>
      </c>
      <c r="U112" s="12">
        <v>5464161</v>
      </c>
      <c r="V112" s="12">
        <v>5190952.9306548052</v>
      </c>
      <c r="W112" s="21">
        <v>4.8387096774193547E-2</v>
      </c>
      <c r="X112" s="21">
        <v>9.8881276226545273E-2</v>
      </c>
      <c r="Y112" t="s">
        <v>95</v>
      </c>
    </row>
    <row r="113" spans="1:25" x14ac:dyDescent="0.2">
      <c r="A113" s="15" t="s">
        <v>429</v>
      </c>
      <c r="B113" t="s">
        <v>131</v>
      </c>
      <c r="C113" t="s">
        <v>175</v>
      </c>
      <c r="D113" t="s">
        <v>395</v>
      </c>
      <c r="E113" t="s">
        <v>869</v>
      </c>
      <c r="F113" s="10">
        <v>48030</v>
      </c>
      <c r="G113" s="10">
        <v>48121</v>
      </c>
      <c r="H113" s="3" t="s">
        <v>67</v>
      </c>
      <c r="I113" t="s">
        <v>38</v>
      </c>
      <c r="J113" s="2">
        <v>17</v>
      </c>
      <c r="K113" t="s">
        <v>606</v>
      </c>
      <c r="L113" s="31">
        <v>3.0333333333333332</v>
      </c>
      <c r="M113" t="s">
        <v>49</v>
      </c>
      <c r="N113" t="s">
        <v>430</v>
      </c>
      <c r="O113" s="12">
        <v>385476.85</v>
      </c>
      <c r="P113" s="12" t="s">
        <v>951</v>
      </c>
      <c r="Q113" s="20" t="s">
        <v>95</v>
      </c>
      <c r="R113" s="11" t="s">
        <v>95</v>
      </c>
      <c r="S113" s="11" t="s">
        <v>95</v>
      </c>
      <c r="T113" s="12" t="s">
        <v>95</v>
      </c>
      <c r="U113" s="12" t="s">
        <v>95</v>
      </c>
      <c r="V113" s="12" t="s">
        <v>95</v>
      </c>
      <c r="W113" s="21" t="s">
        <v>95</v>
      </c>
      <c r="X113" s="21">
        <v>9.8881276226545273E-2</v>
      </c>
      <c r="Y113" t="s">
        <v>152</v>
      </c>
    </row>
    <row r="114" spans="1:25" x14ac:dyDescent="0.2">
      <c r="A114" s="15" t="s">
        <v>431</v>
      </c>
      <c r="B114" t="s">
        <v>131</v>
      </c>
      <c r="C114" t="s">
        <v>175</v>
      </c>
      <c r="D114" t="s">
        <v>395</v>
      </c>
      <c r="E114" t="s">
        <v>870</v>
      </c>
      <c r="F114" s="10">
        <v>48122</v>
      </c>
      <c r="G114" s="10">
        <v>48304</v>
      </c>
      <c r="H114" s="3" t="s">
        <v>67</v>
      </c>
      <c r="I114" t="s">
        <v>38</v>
      </c>
      <c r="J114" s="2">
        <v>18</v>
      </c>
      <c r="K114" t="s">
        <v>606</v>
      </c>
      <c r="L114" s="31">
        <v>6.0666666666666664</v>
      </c>
      <c r="M114" t="s">
        <v>57</v>
      </c>
      <c r="N114" t="s">
        <v>432</v>
      </c>
      <c r="O114" s="12">
        <v>770953.69</v>
      </c>
      <c r="P114" s="12">
        <v>273208.06934519456</v>
      </c>
      <c r="Q114" s="20">
        <v>-0.64562324185101883</v>
      </c>
      <c r="R114" s="11">
        <v>3</v>
      </c>
      <c r="S114" s="11">
        <v>62</v>
      </c>
      <c r="T114" s="12">
        <v>273208.06934519456</v>
      </c>
      <c r="U114" s="12">
        <v>5464161</v>
      </c>
      <c r="V114" s="12">
        <v>5190952.9306548052</v>
      </c>
      <c r="W114" s="21">
        <v>4.8387096774193547E-2</v>
      </c>
      <c r="X114" s="21">
        <v>9.8881276226545273E-2</v>
      </c>
      <c r="Y114" t="s">
        <v>95</v>
      </c>
    </row>
    <row r="115" spans="1:25" x14ac:dyDescent="0.2">
      <c r="A115" s="15" t="s">
        <v>433</v>
      </c>
      <c r="B115" t="s">
        <v>131</v>
      </c>
      <c r="C115" t="s">
        <v>175</v>
      </c>
      <c r="D115" t="s">
        <v>395</v>
      </c>
      <c r="E115" t="s">
        <v>871</v>
      </c>
      <c r="F115" s="10">
        <v>48305</v>
      </c>
      <c r="G115" s="10">
        <v>48487</v>
      </c>
      <c r="H115" s="3" t="s">
        <v>67</v>
      </c>
      <c r="I115" t="s">
        <v>38</v>
      </c>
      <c r="J115" s="2">
        <v>19</v>
      </c>
      <c r="K115" t="s">
        <v>606</v>
      </c>
      <c r="L115" s="31">
        <v>6.0666666666666664</v>
      </c>
      <c r="M115" t="s">
        <v>57</v>
      </c>
      <c r="N115" t="s">
        <v>434</v>
      </c>
      <c r="O115" s="12">
        <v>770953.69</v>
      </c>
      <c r="P115" s="12">
        <v>109283.22773807781</v>
      </c>
      <c r="Q115" s="20">
        <v>-0.85824929674040762</v>
      </c>
      <c r="R115" s="11">
        <v>1</v>
      </c>
      <c r="S115" s="11">
        <v>62</v>
      </c>
      <c r="T115" s="12">
        <v>109283.22773807781</v>
      </c>
      <c r="U115" s="12">
        <v>5464161</v>
      </c>
      <c r="V115" s="12">
        <v>5354877.7722619222</v>
      </c>
      <c r="W115" s="21">
        <v>1.6129032258064516E-2</v>
      </c>
      <c r="X115" s="21">
        <v>9.8881276226545273E-2</v>
      </c>
      <c r="Y115" t="s">
        <v>95</v>
      </c>
    </row>
    <row r="116" spans="1:25" x14ac:dyDescent="0.2">
      <c r="A116" s="15" t="s">
        <v>435</v>
      </c>
      <c r="B116" t="s">
        <v>131</v>
      </c>
      <c r="C116" t="s">
        <v>175</v>
      </c>
      <c r="D116" t="s">
        <v>395</v>
      </c>
      <c r="E116" t="s">
        <v>872</v>
      </c>
      <c r="F116" s="10">
        <v>48488</v>
      </c>
      <c r="G116" s="10">
        <v>48579</v>
      </c>
      <c r="H116" s="3" t="s">
        <v>67</v>
      </c>
      <c r="I116" t="s">
        <v>38</v>
      </c>
      <c r="J116" s="2">
        <v>20</v>
      </c>
      <c r="K116" t="s">
        <v>606</v>
      </c>
      <c r="L116" s="31">
        <v>3.0333333333333332</v>
      </c>
      <c r="M116" t="s">
        <v>49</v>
      </c>
      <c r="N116" t="s">
        <v>436</v>
      </c>
      <c r="O116" s="12">
        <v>385476.85</v>
      </c>
      <c r="P116" s="12">
        <v>0</v>
      </c>
      <c r="Q116" s="20">
        <v>-1</v>
      </c>
      <c r="R116" s="11" t="s">
        <v>95</v>
      </c>
      <c r="S116" s="11">
        <v>0</v>
      </c>
      <c r="T116" s="12">
        <v>0</v>
      </c>
      <c r="U116" s="12">
        <v>0</v>
      </c>
      <c r="V116" s="12">
        <v>0</v>
      </c>
      <c r="W116" s="21" t="s">
        <v>95</v>
      </c>
      <c r="X116" s="21">
        <v>9.8881276226545273E-2</v>
      </c>
      <c r="Y116" t="s">
        <v>95</v>
      </c>
    </row>
    <row r="117" spans="1:25" x14ac:dyDescent="0.2">
      <c r="A117" t="s">
        <v>457</v>
      </c>
      <c r="B117" t="s">
        <v>23</v>
      </c>
      <c r="C117" t="s">
        <v>175</v>
      </c>
      <c r="D117" t="s">
        <v>71</v>
      </c>
      <c r="E117" t="s">
        <v>873</v>
      </c>
      <c r="H117" s="3" t="s">
        <v>450</v>
      </c>
      <c r="I117" t="s">
        <v>38</v>
      </c>
      <c r="J117" s="2">
        <v>21</v>
      </c>
      <c r="K117" t="s">
        <v>606</v>
      </c>
      <c r="O117" s="12">
        <v>0</v>
      </c>
      <c r="P117" s="12" t="s">
        <v>951</v>
      </c>
      <c r="Q117" s="28">
        <v>0</v>
      </c>
      <c r="R117" s="11" t="s">
        <v>95</v>
      </c>
      <c r="S117" s="11" t="s">
        <v>95</v>
      </c>
      <c r="T117" s="12" t="s">
        <v>95</v>
      </c>
      <c r="U117" s="12" t="s">
        <v>95</v>
      </c>
      <c r="V117" s="12" t="s">
        <v>95</v>
      </c>
      <c r="W117" s="21" t="s">
        <v>95</v>
      </c>
      <c r="X117" s="21">
        <v>9.3180817988663137E-2</v>
      </c>
      <c r="Y117" t="s">
        <v>95</v>
      </c>
    </row>
    <row r="118" spans="1:25" x14ac:dyDescent="0.2">
      <c r="A118" t="s">
        <v>96</v>
      </c>
      <c r="B118" t="s">
        <v>97</v>
      </c>
      <c r="C118" t="s">
        <v>98</v>
      </c>
      <c r="D118" t="s">
        <v>99</v>
      </c>
      <c r="E118" t="s">
        <v>652</v>
      </c>
      <c r="H118" s="3" t="s">
        <v>100</v>
      </c>
      <c r="I118" t="s">
        <v>102</v>
      </c>
      <c r="J118" s="2" t="s">
        <v>30</v>
      </c>
      <c r="K118" t="s">
        <v>317</v>
      </c>
      <c r="O118" s="12"/>
      <c r="P118" s="12"/>
      <c r="Q118" s="13"/>
      <c r="R118" s="11"/>
      <c r="S118" s="11"/>
      <c r="T118" s="12"/>
      <c r="U118" s="12"/>
      <c r="V118" s="12"/>
      <c r="W118" s="21"/>
      <c r="X118" s="21"/>
      <c r="Y118" t="s">
        <v>95</v>
      </c>
    </row>
    <row r="119" spans="1:25" x14ac:dyDescent="0.2">
      <c r="A119" t="s">
        <v>130</v>
      </c>
      <c r="B119" t="s">
        <v>131</v>
      </c>
      <c r="C119" t="s">
        <v>106</v>
      </c>
      <c r="D119" t="s">
        <v>128</v>
      </c>
      <c r="E119" t="s">
        <v>675</v>
      </c>
      <c r="F119" s="10">
        <v>46174</v>
      </c>
      <c r="G119" s="10">
        <v>46295</v>
      </c>
      <c r="H119" s="3" t="s">
        <v>70</v>
      </c>
      <c r="I119" t="s">
        <v>102</v>
      </c>
      <c r="J119" s="2" t="s">
        <v>30</v>
      </c>
      <c r="K119" t="s">
        <v>317</v>
      </c>
      <c r="L119" s="31">
        <v>4.0333333333333332</v>
      </c>
      <c r="M119" t="s">
        <v>57</v>
      </c>
      <c r="O119" s="12">
        <v>770953.69</v>
      </c>
      <c r="P119" s="12">
        <v>0</v>
      </c>
      <c r="Q119" s="20">
        <v>-1</v>
      </c>
      <c r="R119" s="11" t="s">
        <v>95</v>
      </c>
      <c r="S119" s="11">
        <v>0</v>
      </c>
      <c r="T119" s="12">
        <v>0</v>
      </c>
      <c r="U119" s="12">
        <v>0</v>
      </c>
      <c r="V119" s="12">
        <v>0</v>
      </c>
      <c r="W119" s="20" t="s">
        <v>95</v>
      </c>
      <c r="X119" s="21" t="s">
        <v>95</v>
      </c>
      <c r="Y119" t="s">
        <v>95</v>
      </c>
    </row>
    <row r="120" spans="1:25" x14ac:dyDescent="0.2">
      <c r="A120" t="s">
        <v>607</v>
      </c>
      <c r="B120" t="s">
        <v>131</v>
      </c>
      <c r="C120" t="s">
        <v>106</v>
      </c>
      <c r="D120" t="s">
        <v>128</v>
      </c>
      <c r="E120" t="s">
        <v>676</v>
      </c>
      <c r="H120" s="3" t="s">
        <v>70</v>
      </c>
      <c r="I120" t="s">
        <v>102</v>
      </c>
      <c r="J120" s="2" t="s">
        <v>30</v>
      </c>
      <c r="K120" t="s">
        <v>317</v>
      </c>
      <c r="O120" s="12">
        <v>0</v>
      </c>
      <c r="P120" s="12" t="s">
        <v>951</v>
      </c>
      <c r="Q120" s="20" t="s">
        <v>95</v>
      </c>
      <c r="R120" s="11" t="s">
        <v>95</v>
      </c>
      <c r="S120" s="11" t="s">
        <v>95</v>
      </c>
      <c r="T120" s="12" t="s">
        <v>95</v>
      </c>
      <c r="U120" s="12" t="s">
        <v>95</v>
      </c>
      <c r="V120" s="12" t="s">
        <v>95</v>
      </c>
      <c r="W120" s="20" t="s">
        <v>95</v>
      </c>
      <c r="X120" s="21" t="s">
        <v>95</v>
      </c>
      <c r="Y120" t="s">
        <v>95</v>
      </c>
    </row>
    <row r="121" spans="1:25" x14ac:dyDescent="0.2">
      <c r="A121" t="s">
        <v>132</v>
      </c>
      <c r="B121" t="s">
        <v>131</v>
      </c>
      <c r="C121" t="s">
        <v>106</v>
      </c>
      <c r="D121" t="s">
        <v>128</v>
      </c>
      <c r="E121" t="s">
        <v>677</v>
      </c>
      <c r="H121" s="3" t="s">
        <v>70</v>
      </c>
      <c r="I121" t="s">
        <v>102</v>
      </c>
      <c r="J121" s="2" t="s">
        <v>30</v>
      </c>
      <c r="K121" t="s">
        <v>317</v>
      </c>
      <c r="O121" s="12">
        <v>0</v>
      </c>
      <c r="P121" s="12" t="s">
        <v>951</v>
      </c>
      <c r="Q121" s="20" t="s">
        <v>95</v>
      </c>
      <c r="R121" s="11" t="s">
        <v>95</v>
      </c>
      <c r="S121" s="11" t="s">
        <v>95</v>
      </c>
      <c r="T121" s="12" t="s">
        <v>95</v>
      </c>
      <c r="U121" s="12" t="s">
        <v>95</v>
      </c>
      <c r="V121" s="12" t="s">
        <v>95</v>
      </c>
      <c r="W121" s="20" t="s">
        <v>95</v>
      </c>
      <c r="X121" s="21" t="s">
        <v>95</v>
      </c>
      <c r="Y121" t="s">
        <v>95</v>
      </c>
    </row>
    <row r="122" spans="1:25" x14ac:dyDescent="0.2">
      <c r="A122" t="s">
        <v>605</v>
      </c>
      <c r="B122" t="s">
        <v>97</v>
      </c>
      <c r="C122" t="s">
        <v>106</v>
      </c>
      <c r="D122" t="s">
        <v>134</v>
      </c>
      <c r="E122" t="s">
        <v>678</v>
      </c>
      <c r="H122" s="3" t="s">
        <v>70</v>
      </c>
      <c r="I122" t="s">
        <v>102</v>
      </c>
      <c r="J122" s="2" t="s">
        <v>30</v>
      </c>
      <c r="K122" t="s">
        <v>317</v>
      </c>
      <c r="O122" s="12">
        <v>0</v>
      </c>
      <c r="P122" s="12" t="s">
        <v>951</v>
      </c>
      <c r="Q122" s="20" t="s">
        <v>95</v>
      </c>
      <c r="R122" s="11" t="s">
        <v>95</v>
      </c>
      <c r="S122" s="11" t="s">
        <v>95</v>
      </c>
      <c r="T122" s="12" t="s">
        <v>95</v>
      </c>
      <c r="U122" s="12" t="s">
        <v>95</v>
      </c>
      <c r="V122" s="12" t="s">
        <v>95</v>
      </c>
      <c r="W122" s="21" t="s">
        <v>95</v>
      </c>
      <c r="X122" s="21" t="s">
        <v>95</v>
      </c>
      <c r="Y122" t="s">
        <v>95</v>
      </c>
    </row>
    <row r="123" spans="1:25" x14ac:dyDescent="0.2">
      <c r="A123" s="15" t="s">
        <v>619</v>
      </c>
      <c r="B123" s="15" t="s">
        <v>97</v>
      </c>
      <c r="C123" s="15" t="s">
        <v>106</v>
      </c>
      <c r="D123" s="15" t="s">
        <v>134</v>
      </c>
      <c r="E123" t="s">
        <v>679</v>
      </c>
      <c r="F123" s="19"/>
      <c r="G123" s="19"/>
      <c r="H123" s="16" t="s">
        <v>70</v>
      </c>
      <c r="I123" s="15" t="s">
        <v>102</v>
      </c>
      <c r="J123" s="2" t="s">
        <v>30</v>
      </c>
      <c r="K123" t="s">
        <v>317</v>
      </c>
      <c r="L123" s="32"/>
      <c r="M123" s="15"/>
      <c r="N123" s="15"/>
      <c r="O123">
        <v>0</v>
      </c>
      <c r="P123" t="s">
        <v>951</v>
      </c>
      <c r="Q123" t="s">
        <v>95</v>
      </c>
      <c r="R123" s="27" t="s">
        <v>95</v>
      </c>
      <c r="S123" s="27" t="s">
        <v>95</v>
      </c>
      <c r="T123" s="27" t="s">
        <v>95</v>
      </c>
      <c r="U123" t="s">
        <v>95</v>
      </c>
      <c r="V123" t="s">
        <v>95</v>
      </c>
      <c r="W123" s="23" t="s">
        <v>95</v>
      </c>
      <c r="X123" s="23" t="s">
        <v>95</v>
      </c>
      <c r="Y123" t="s">
        <v>95</v>
      </c>
    </row>
    <row r="124" spans="1:25" x14ac:dyDescent="0.2">
      <c r="B124" t="s">
        <v>97</v>
      </c>
      <c r="C124" t="s">
        <v>106</v>
      </c>
      <c r="D124" t="s">
        <v>134</v>
      </c>
      <c r="E124" t="e">
        <v>#N/A</v>
      </c>
      <c r="H124" s="3" t="s">
        <v>70</v>
      </c>
      <c r="I124" t="s">
        <v>102</v>
      </c>
      <c r="J124" s="2" t="s">
        <v>30</v>
      </c>
      <c r="K124" t="s">
        <v>317</v>
      </c>
      <c r="O124">
        <v>0</v>
      </c>
      <c r="P124" t="s">
        <v>951</v>
      </c>
      <c r="Q124" t="s">
        <v>95</v>
      </c>
      <c r="R124" s="27" t="s">
        <v>95</v>
      </c>
      <c r="S124" s="27" t="s">
        <v>95</v>
      </c>
      <c r="T124" s="27" t="s">
        <v>95</v>
      </c>
      <c r="U124" t="s">
        <v>95</v>
      </c>
      <c r="V124" t="s">
        <v>95</v>
      </c>
      <c r="W124" s="23" t="s">
        <v>95</v>
      </c>
      <c r="X124" s="23" t="s">
        <v>95</v>
      </c>
      <c r="Y124" t="s">
        <v>95</v>
      </c>
    </row>
    <row r="125" spans="1:25" x14ac:dyDescent="0.2">
      <c r="A125" t="s">
        <v>612</v>
      </c>
      <c r="B125" t="s">
        <v>97</v>
      </c>
      <c r="C125" t="s">
        <v>609</v>
      </c>
      <c r="D125" t="s">
        <v>609</v>
      </c>
      <c r="E125" t="s">
        <v>774</v>
      </c>
      <c r="F125" s="10" t="s">
        <v>179</v>
      </c>
      <c r="G125" s="10" t="s">
        <v>179</v>
      </c>
      <c r="H125" s="3" t="s">
        <v>139</v>
      </c>
      <c r="I125" t="s">
        <v>102</v>
      </c>
      <c r="J125" s="2" t="s">
        <v>30</v>
      </c>
      <c r="K125" t="s">
        <v>317</v>
      </c>
      <c r="M125" t="s">
        <v>61</v>
      </c>
      <c r="O125" s="12">
        <v>1156430.54</v>
      </c>
      <c r="P125" s="12" t="s">
        <v>951</v>
      </c>
      <c r="Q125" s="20" t="s">
        <v>95</v>
      </c>
      <c r="R125" s="11" t="s">
        <v>95</v>
      </c>
      <c r="S125" s="11" t="s">
        <v>95</v>
      </c>
      <c r="T125" s="12" t="s">
        <v>95</v>
      </c>
      <c r="U125" s="12" t="s">
        <v>95</v>
      </c>
      <c r="V125" s="12" t="s">
        <v>95</v>
      </c>
      <c r="W125" s="21" t="s">
        <v>95</v>
      </c>
      <c r="X125" s="21">
        <v>0.44084891187851694</v>
      </c>
      <c r="Y125" t="s">
        <v>95</v>
      </c>
    </row>
    <row r="126" spans="1:25" x14ac:dyDescent="0.2">
      <c r="A126" t="s">
        <v>613</v>
      </c>
      <c r="B126" t="s">
        <v>97</v>
      </c>
      <c r="C126" t="s">
        <v>609</v>
      </c>
      <c r="D126" t="s">
        <v>609</v>
      </c>
      <c r="E126" t="s">
        <v>775</v>
      </c>
      <c r="F126" s="10" t="s">
        <v>179</v>
      </c>
      <c r="G126" s="10" t="s">
        <v>179</v>
      </c>
      <c r="H126" s="3" t="s">
        <v>139</v>
      </c>
      <c r="I126" t="s">
        <v>102</v>
      </c>
      <c r="J126" s="2" t="s">
        <v>30</v>
      </c>
      <c r="K126" t="s">
        <v>317</v>
      </c>
      <c r="M126" t="s">
        <v>61</v>
      </c>
      <c r="O126" s="12">
        <v>1156430.54</v>
      </c>
      <c r="P126" s="12" t="s">
        <v>951</v>
      </c>
      <c r="Q126" s="20" t="s">
        <v>95</v>
      </c>
      <c r="R126" s="11" t="s">
        <v>95</v>
      </c>
      <c r="S126" s="11" t="s">
        <v>95</v>
      </c>
      <c r="T126" s="12" t="s">
        <v>95</v>
      </c>
      <c r="U126" s="12" t="s">
        <v>95</v>
      </c>
      <c r="V126" s="12" t="s">
        <v>95</v>
      </c>
      <c r="W126" s="21" t="s">
        <v>95</v>
      </c>
      <c r="X126" s="21">
        <v>0.44084891187851694</v>
      </c>
      <c r="Y126" t="s">
        <v>250</v>
      </c>
    </row>
    <row r="127" spans="1:25" x14ac:dyDescent="0.2">
      <c r="A127" t="s">
        <v>614</v>
      </c>
      <c r="B127" t="s">
        <v>97</v>
      </c>
      <c r="C127" t="s">
        <v>609</v>
      </c>
      <c r="D127" t="s">
        <v>609</v>
      </c>
      <c r="E127" t="s">
        <v>776</v>
      </c>
      <c r="F127" s="10" t="s">
        <v>179</v>
      </c>
      <c r="G127" s="10" t="s">
        <v>179</v>
      </c>
      <c r="H127" s="3" t="s">
        <v>139</v>
      </c>
      <c r="I127" t="s">
        <v>102</v>
      </c>
      <c r="J127" s="2" t="s">
        <v>30</v>
      </c>
      <c r="K127" t="s">
        <v>317</v>
      </c>
      <c r="M127" t="s">
        <v>61</v>
      </c>
      <c r="O127" s="12">
        <v>1156430.54</v>
      </c>
      <c r="P127" s="12" t="s">
        <v>951</v>
      </c>
      <c r="Q127" s="20" t="s">
        <v>95</v>
      </c>
      <c r="R127" s="11" t="s">
        <v>95</v>
      </c>
      <c r="S127" s="11" t="s">
        <v>95</v>
      </c>
      <c r="T127" s="12" t="s">
        <v>95</v>
      </c>
      <c r="U127" s="12" t="s">
        <v>95</v>
      </c>
      <c r="V127" s="12" t="s">
        <v>95</v>
      </c>
      <c r="W127" s="21" t="s">
        <v>95</v>
      </c>
      <c r="X127" s="21">
        <v>0.44084891187851694</v>
      </c>
      <c r="Y127" t="s">
        <v>95</v>
      </c>
    </row>
    <row r="128" spans="1:25" x14ac:dyDescent="0.2">
      <c r="A128" t="s">
        <v>615</v>
      </c>
      <c r="B128" t="s">
        <v>97</v>
      </c>
      <c r="C128" t="s">
        <v>609</v>
      </c>
      <c r="D128" t="s">
        <v>609</v>
      </c>
      <c r="E128" t="s">
        <v>777</v>
      </c>
      <c r="F128" s="10" t="s">
        <v>179</v>
      </c>
      <c r="G128" s="10" t="s">
        <v>179</v>
      </c>
      <c r="H128" s="3" t="s">
        <v>139</v>
      </c>
      <c r="I128" t="s">
        <v>102</v>
      </c>
      <c r="J128" s="2" t="s">
        <v>30</v>
      </c>
      <c r="K128" t="s">
        <v>317</v>
      </c>
      <c r="M128" t="s">
        <v>61</v>
      </c>
      <c r="O128" s="12">
        <v>1156430.54</v>
      </c>
      <c r="P128" s="12" t="s">
        <v>951</v>
      </c>
      <c r="Q128" s="20" t="s">
        <v>95</v>
      </c>
      <c r="R128" s="11" t="s">
        <v>95</v>
      </c>
      <c r="S128" s="11" t="s">
        <v>95</v>
      </c>
      <c r="T128" s="12" t="s">
        <v>95</v>
      </c>
      <c r="U128" s="12" t="s">
        <v>95</v>
      </c>
      <c r="V128" s="12" t="s">
        <v>95</v>
      </c>
      <c r="W128" s="21" t="s">
        <v>95</v>
      </c>
      <c r="X128" s="21">
        <v>0.44084891187851694</v>
      </c>
      <c r="Y128" t="s">
        <v>250</v>
      </c>
    </row>
    <row r="129" spans="1:25" x14ac:dyDescent="0.2">
      <c r="A129" t="s">
        <v>617</v>
      </c>
      <c r="B129" t="s">
        <v>97</v>
      </c>
      <c r="C129" t="s">
        <v>609</v>
      </c>
      <c r="D129" t="s">
        <v>609</v>
      </c>
      <c r="E129" t="s">
        <v>778</v>
      </c>
      <c r="F129" s="10" t="s">
        <v>179</v>
      </c>
      <c r="G129" s="10" t="s">
        <v>179</v>
      </c>
      <c r="H129" s="3" t="s">
        <v>196</v>
      </c>
      <c r="I129" t="s">
        <v>102</v>
      </c>
      <c r="J129" s="2" t="s">
        <v>30</v>
      </c>
      <c r="K129" t="s">
        <v>317</v>
      </c>
      <c r="N129" t="s">
        <v>194</v>
      </c>
      <c r="O129" s="12">
        <v>0</v>
      </c>
      <c r="P129" s="12" t="s">
        <v>951</v>
      </c>
      <c r="Q129" s="20" t="s">
        <v>95</v>
      </c>
      <c r="R129" s="11" t="s">
        <v>95</v>
      </c>
      <c r="S129" s="11" t="s">
        <v>95</v>
      </c>
      <c r="T129" s="12" t="s">
        <v>95</v>
      </c>
      <c r="U129" s="12" t="s">
        <v>95</v>
      </c>
      <c r="V129" s="12" t="s">
        <v>95</v>
      </c>
      <c r="W129" s="21" t="s">
        <v>95</v>
      </c>
      <c r="X129" s="21">
        <v>9.1212263676270597E-2</v>
      </c>
      <c r="Y129" t="s">
        <v>95</v>
      </c>
    </row>
    <row r="130" spans="1:25" x14ac:dyDescent="0.2">
      <c r="A130" t="s">
        <v>618</v>
      </c>
      <c r="B130" t="s">
        <v>97</v>
      </c>
      <c r="C130" t="s">
        <v>609</v>
      </c>
      <c r="D130" t="s">
        <v>609</v>
      </c>
      <c r="E130" t="s">
        <v>779</v>
      </c>
      <c r="F130" s="10" t="s">
        <v>179</v>
      </c>
      <c r="G130" s="10" t="s">
        <v>179</v>
      </c>
      <c r="H130" s="3" t="s">
        <v>196</v>
      </c>
      <c r="I130" t="s">
        <v>102</v>
      </c>
      <c r="J130" s="2" t="s">
        <v>30</v>
      </c>
      <c r="K130" t="s">
        <v>317</v>
      </c>
      <c r="O130" s="12">
        <v>0</v>
      </c>
      <c r="P130" s="12" t="s">
        <v>951</v>
      </c>
      <c r="Q130" s="20" t="s">
        <v>95</v>
      </c>
      <c r="R130" s="11" t="s">
        <v>95</v>
      </c>
      <c r="S130" s="11" t="s">
        <v>95</v>
      </c>
      <c r="T130" s="12" t="s">
        <v>95</v>
      </c>
      <c r="U130" s="12" t="s">
        <v>95</v>
      </c>
      <c r="V130" s="12" t="s">
        <v>95</v>
      </c>
      <c r="W130" s="21" t="s">
        <v>95</v>
      </c>
      <c r="X130" s="21">
        <v>9.1212263676270597E-2</v>
      </c>
      <c r="Y130" t="s">
        <v>232</v>
      </c>
    </row>
    <row r="131" spans="1:25" x14ac:dyDescent="0.2">
      <c r="A131" t="s">
        <v>290</v>
      </c>
      <c r="B131" t="s">
        <v>23</v>
      </c>
      <c r="C131" t="s">
        <v>280</v>
      </c>
      <c r="D131" t="s">
        <v>291</v>
      </c>
      <c r="E131" t="s">
        <v>783</v>
      </c>
      <c r="F131" s="44"/>
      <c r="G131" s="42"/>
      <c r="I131" t="s">
        <v>102</v>
      </c>
      <c r="J131" s="2" t="s">
        <v>30</v>
      </c>
      <c r="K131" t="s">
        <v>317</v>
      </c>
      <c r="O131" s="12">
        <v>0</v>
      </c>
      <c r="P131" s="12" t="s">
        <v>951</v>
      </c>
      <c r="Q131" s="20" t="s">
        <v>95</v>
      </c>
      <c r="R131" s="11" t="s">
        <v>95</v>
      </c>
      <c r="S131" s="11" t="s">
        <v>95</v>
      </c>
      <c r="T131" s="12" t="s">
        <v>95</v>
      </c>
      <c r="U131" s="12" t="s">
        <v>95</v>
      </c>
      <c r="V131" s="12" t="s">
        <v>95</v>
      </c>
      <c r="W131" s="21" t="s">
        <v>95</v>
      </c>
      <c r="X131" s="21">
        <v>0</v>
      </c>
      <c r="Y131" t="s">
        <v>274</v>
      </c>
    </row>
    <row r="132" spans="1:25" x14ac:dyDescent="0.2">
      <c r="A132" t="s">
        <v>478</v>
      </c>
      <c r="B132" t="s">
        <v>131</v>
      </c>
      <c r="C132" t="s">
        <v>175</v>
      </c>
      <c r="D132" t="s">
        <v>479</v>
      </c>
      <c r="E132" t="s">
        <v>874</v>
      </c>
      <c r="H132" s="3" t="s">
        <v>70</v>
      </c>
      <c r="I132" t="s">
        <v>102</v>
      </c>
      <c r="J132" s="2" t="s">
        <v>30</v>
      </c>
      <c r="K132" t="s">
        <v>317</v>
      </c>
      <c r="O132">
        <v>0</v>
      </c>
      <c r="P132" t="s">
        <v>951</v>
      </c>
      <c r="Q132" t="s">
        <v>95</v>
      </c>
      <c r="R132" s="27" t="s">
        <v>95</v>
      </c>
      <c r="S132" s="27" t="s">
        <v>95</v>
      </c>
      <c r="T132" s="27" t="s">
        <v>95</v>
      </c>
      <c r="U132" t="s">
        <v>95</v>
      </c>
      <c r="V132" t="s">
        <v>95</v>
      </c>
      <c r="W132" s="23" t="s">
        <v>95</v>
      </c>
      <c r="X132" s="23" t="s">
        <v>95</v>
      </c>
      <c r="Y132" t="s">
        <v>95</v>
      </c>
    </row>
    <row r="133" spans="1:25" x14ac:dyDescent="0.2">
      <c r="A133" t="s">
        <v>478</v>
      </c>
      <c r="B133" t="s">
        <v>131</v>
      </c>
      <c r="C133" t="s">
        <v>175</v>
      </c>
      <c r="D133" t="s">
        <v>479</v>
      </c>
      <c r="E133" t="s">
        <v>875</v>
      </c>
      <c r="H133" s="3" t="s">
        <v>70</v>
      </c>
      <c r="I133" t="s">
        <v>102</v>
      </c>
      <c r="J133" s="2" t="s">
        <v>30</v>
      </c>
      <c r="K133" t="s">
        <v>317</v>
      </c>
      <c r="O133">
        <v>0</v>
      </c>
      <c r="P133" t="s">
        <v>951</v>
      </c>
      <c r="Q133" t="s">
        <v>95</v>
      </c>
      <c r="R133" s="27" t="s">
        <v>95</v>
      </c>
      <c r="S133" s="27" t="s">
        <v>95</v>
      </c>
      <c r="T133" s="27" t="s">
        <v>95</v>
      </c>
      <c r="U133" t="s">
        <v>95</v>
      </c>
      <c r="V133" t="s">
        <v>95</v>
      </c>
      <c r="W133" s="23" t="s">
        <v>95</v>
      </c>
      <c r="X133" s="23" t="s">
        <v>95</v>
      </c>
      <c r="Y133" t="s">
        <v>250</v>
      </c>
    </row>
    <row r="134" spans="1:25" x14ac:dyDescent="0.2">
      <c r="A134" t="s">
        <v>478</v>
      </c>
      <c r="B134" t="s">
        <v>131</v>
      </c>
      <c r="C134" t="s">
        <v>175</v>
      </c>
      <c r="D134" t="s">
        <v>479</v>
      </c>
      <c r="E134" t="s">
        <v>876</v>
      </c>
      <c r="H134" s="3" t="s">
        <v>70</v>
      </c>
      <c r="I134" t="s">
        <v>102</v>
      </c>
      <c r="J134" s="2" t="s">
        <v>30</v>
      </c>
      <c r="K134" t="s">
        <v>317</v>
      </c>
      <c r="O134">
        <v>0</v>
      </c>
      <c r="P134" t="s">
        <v>951</v>
      </c>
      <c r="Q134" t="s">
        <v>95</v>
      </c>
      <c r="R134" s="27" t="s">
        <v>95</v>
      </c>
      <c r="S134" s="27" t="s">
        <v>95</v>
      </c>
      <c r="T134" s="27" t="s">
        <v>95</v>
      </c>
      <c r="U134" t="s">
        <v>95</v>
      </c>
      <c r="V134" t="s">
        <v>95</v>
      </c>
      <c r="W134" s="23" t="s">
        <v>95</v>
      </c>
      <c r="X134" s="23" t="s">
        <v>95</v>
      </c>
      <c r="Y134" t="s">
        <v>95</v>
      </c>
    </row>
    <row r="135" spans="1:25" x14ac:dyDescent="0.2">
      <c r="A135" t="s">
        <v>478</v>
      </c>
      <c r="B135" t="s">
        <v>131</v>
      </c>
      <c r="C135" t="s">
        <v>175</v>
      </c>
      <c r="D135" t="s">
        <v>479</v>
      </c>
      <c r="E135" t="s">
        <v>877</v>
      </c>
      <c r="H135" s="3" t="s">
        <v>70</v>
      </c>
      <c r="I135" t="s">
        <v>102</v>
      </c>
      <c r="J135" s="2" t="s">
        <v>30</v>
      </c>
      <c r="K135" t="s">
        <v>317</v>
      </c>
      <c r="O135">
        <v>0</v>
      </c>
      <c r="P135" t="s">
        <v>951</v>
      </c>
      <c r="Q135" t="s">
        <v>95</v>
      </c>
      <c r="R135" s="27" t="s">
        <v>95</v>
      </c>
      <c r="S135" s="27" t="s">
        <v>95</v>
      </c>
      <c r="T135" s="27" t="s">
        <v>95</v>
      </c>
      <c r="U135" t="s">
        <v>95</v>
      </c>
      <c r="V135" t="s">
        <v>95</v>
      </c>
      <c r="W135" s="23" t="s">
        <v>95</v>
      </c>
      <c r="X135" s="23" t="s">
        <v>95</v>
      </c>
      <c r="Y135" t="s">
        <v>244</v>
      </c>
    </row>
    <row r="136" spans="1:25" x14ac:dyDescent="0.2">
      <c r="A136" t="s">
        <v>478</v>
      </c>
      <c r="B136" t="s">
        <v>131</v>
      </c>
      <c r="C136" t="s">
        <v>175</v>
      </c>
      <c r="D136" t="s">
        <v>479</v>
      </c>
      <c r="E136" t="s">
        <v>878</v>
      </c>
      <c r="H136" s="3" t="s">
        <v>70</v>
      </c>
      <c r="I136" t="s">
        <v>102</v>
      </c>
      <c r="J136" s="2" t="s">
        <v>30</v>
      </c>
      <c r="K136" t="s">
        <v>317</v>
      </c>
      <c r="O136">
        <v>0</v>
      </c>
      <c r="P136" t="s">
        <v>951</v>
      </c>
      <c r="Q136" t="s">
        <v>95</v>
      </c>
      <c r="R136" s="27" t="s">
        <v>95</v>
      </c>
      <c r="S136" s="27" t="s">
        <v>95</v>
      </c>
      <c r="T136" s="27" t="s">
        <v>95</v>
      </c>
      <c r="U136" t="s">
        <v>95</v>
      </c>
      <c r="V136" t="s">
        <v>95</v>
      </c>
      <c r="W136" s="23" t="s">
        <v>95</v>
      </c>
      <c r="X136" s="23" t="s">
        <v>95</v>
      </c>
      <c r="Y136" t="e">
        <v>#REF!</v>
      </c>
    </row>
    <row r="137" spans="1:25" x14ac:dyDescent="0.2">
      <c r="A137" t="s">
        <v>478</v>
      </c>
      <c r="B137" t="s">
        <v>131</v>
      </c>
      <c r="C137" t="s">
        <v>175</v>
      </c>
      <c r="D137" t="s">
        <v>479</v>
      </c>
      <c r="E137" t="s">
        <v>879</v>
      </c>
      <c r="H137" s="3" t="s">
        <v>70</v>
      </c>
      <c r="I137" t="s">
        <v>102</v>
      </c>
      <c r="J137" s="2" t="s">
        <v>30</v>
      </c>
      <c r="K137" t="s">
        <v>317</v>
      </c>
      <c r="O137">
        <v>0</v>
      </c>
      <c r="P137" t="s">
        <v>951</v>
      </c>
      <c r="Q137" t="s">
        <v>95</v>
      </c>
      <c r="R137" s="27" t="s">
        <v>95</v>
      </c>
      <c r="S137" s="27" t="s">
        <v>95</v>
      </c>
      <c r="T137" s="27" t="s">
        <v>95</v>
      </c>
      <c r="U137" t="s">
        <v>95</v>
      </c>
      <c r="V137" t="s">
        <v>95</v>
      </c>
      <c r="W137" s="23" t="s">
        <v>95</v>
      </c>
      <c r="X137" s="23" t="s">
        <v>95</v>
      </c>
      <c r="Y137" t="s">
        <v>246</v>
      </c>
    </row>
    <row r="138" spans="1:25" x14ac:dyDescent="0.2">
      <c r="A138" t="s">
        <v>478</v>
      </c>
      <c r="B138" t="s">
        <v>131</v>
      </c>
      <c r="C138" t="s">
        <v>175</v>
      </c>
      <c r="D138" t="s">
        <v>479</v>
      </c>
      <c r="E138" t="s">
        <v>880</v>
      </c>
      <c r="H138" s="3" t="s">
        <v>70</v>
      </c>
      <c r="I138" t="s">
        <v>102</v>
      </c>
      <c r="J138" s="2" t="s">
        <v>30</v>
      </c>
      <c r="K138" t="s">
        <v>317</v>
      </c>
      <c r="O138">
        <v>0</v>
      </c>
      <c r="P138" t="s">
        <v>951</v>
      </c>
      <c r="Q138" t="s">
        <v>95</v>
      </c>
      <c r="R138" s="27" t="s">
        <v>95</v>
      </c>
      <c r="S138" s="27" t="s">
        <v>95</v>
      </c>
      <c r="T138" s="27" t="s">
        <v>95</v>
      </c>
      <c r="U138" t="s">
        <v>95</v>
      </c>
      <c r="V138" t="s">
        <v>95</v>
      </c>
      <c r="W138" s="23" t="s">
        <v>95</v>
      </c>
      <c r="X138" s="23" t="s">
        <v>95</v>
      </c>
      <c r="Y138" t="s">
        <v>258</v>
      </c>
    </row>
    <row r="139" spans="1:25" x14ac:dyDescent="0.2">
      <c r="A139" t="s">
        <v>54</v>
      </c>
      <c r="B139" t="s">
        <v>23</v>
      </c>
      <c r="C139" t="s">
        <v>24</v>
      </c>
      <c r="D139" t="s">
        <v>41</v>
      </c>
      <c r="E139" t="s">
        <v>635</v>
      </c>
      <c r="F139" s="10">
        <v>45962</v>
      </c>
      <c r="G139" s="10">
        <v>46082</v>
      </c>
      <c r="H139" s="3" t="s">
        <v>43</v>
      </c>
      <c r="I139" t="s">
        <v>56</v>
      </c>
      <c r="J139" s="2">
        <v>1</v>
      </c>
      <c r="K139" t="s">
        <v>947</v>
      </c>
      <c r="L139" s="31">
        <v>4</v>
      </c>
      <c r="M139" s="15" t="s">
        <v>57</v>
      </c>
      <c r="N139" t="s">
        <v>58</v>
      </c>
      <c r="O139" s="12">
        <v>770953.69</v>
      </c>
      <c r="P139" s="12" t="s">
        <v>951</v>
      </c>
      <c r="Q139" s="13" t="s">
        <v>95</v>
      </c>
      <c r="R139" s="11" t="s">
        <v>95</v>
      </c>
      <c r="S139" s="11" t="s">
        <v>95</v>
      </c>
      <c r="T139" s="12" t="s">
        <v>95</v>
      </c>
      <c r="U139" s="12" t="s">
        <v>95</v>
      </c>
      <c r="V139" s="12" t="s">
        <v>95</v>
      </c>
      <c r="W139" s="13" t="s">
        <v>95</v>
      </c>
      <c r="X139" s="21">
        <v>0.34650362996126405</v>
      </c>
      <c r="Y139" t="s">
        <v>250</v>
      </c>
    </row>
    <row r="140" spans="1:25" x14ac:dyDescent="0.2">
      <c r="A140" t="s">
        <v>85</v>
      </c>
      <c r="B140" t="s">
        <v>23</v>
      </c>
      <c r="C140" t="s">
        <v>24</v>
      </c>
      <c r="D140" t="s">
        <v>86</v>
      </c>
      <c r="E140" t="s">
        <v>636</v>
      </c>
      <c r="F140" s="10">
        <v>45992</v>
      </c>
      <c r="G140" s="10">
        <v>46203</v>
      </c>
      <c r="H140" s="3" t="s">
        <v>88</v>
      </c>
      <c r="I140" t="s">
        <v>56</v>
      </c>
      <c r="J140" s="2">
        <v>1</v>
      </c>
      <c r="K140" t="s">
        <v>947</v>
      </c>
      <c r="L140" s="31">
        <v>6.0666666666666664</v>
      </c>
      <c r="M140" t="s">
        <v>57</v>
      </c>
      <c r="N140" t="s">
        <v>89</v>
      </c>
      <c r="O140" s="12">
        <v>1140744.49</v>
      </c>
      <c r="P140" s="43">
        <v>3843290.4323666408</v>
      </c>
      <c r="Q140" s="13">
        <v>2.3691071629604288</v>
      </c>
      <c r="R140" s="11">
        <v>25</v>
      </c>
      <c r="S140" s="11">
        <v>84</v>
      </c>
      <c r="T140" s="43">
        <v>3843290.4323666408</v>
      </c>
      <c r="U140" s="12">
        <v>7117205</v>
      </c>
      <c r="V140" s="12">
        <v>3273914.5676333592</v>
      </c>
      <c r="W140" s="21">
        <v>0.29761904761904762</v>
      </c>
      <c r="X140" s="21">
        <v>0.36023645650309155</v>
      </c>
      <c r="Y140" t="s">
        <v>262</v>
      </c>
    </row>
    <row r="141" spans="1:25" x14ac:dyDescent="0.2">
      <c r="A141" t="s">
        <v>85</v>
      </c>
      <c r="B141" t="s">
        <v>23</v>
      </c>
      <c r="C141" t="s">
        <v>24</v>
      </c>
      <c r="D141" t="s">
        <v>86</v>
      </c>
      <c r="E141" t="s">
        <v>637</v>
      </c>
      <c r="F141" s="10">
        <v>46143</v>
      </c>
      <c r="G141" s="10">
        <v>46356</v>
      </c>
      <c r="H141" s="3" t="s">
        <v>88</v>
      </c>
      <c r="I141" t="s">
        <v>56</v>
      </c>
      <c r="J141" s="2">
        <v>2</v>
      </c>
      <c r="K141" t="s">
        <v>947</v>
      </c>
      <c r="L141" s="31">
        <v>6.1333333333333337</v>
      </c>
      <c r="M141" t="s">
        <v>57</v>
      </c>
      <c r="N141" t="s">
        <v>91</v>
      </c>
      <c r="O141" s="12">
        <v>1140744.49</v>
      </c>
      <c r="P141" s="43">
        <v>1494612.9459203605</v>
      </c>
      <c r="Q141" s="13">
        <v>0.31020834115127788</v>
      </c>
      <c r="R141" s="11">
        <v>25</v>
      </c>
      <c r="S141" s="11">
        <v>84</v>
      </c>
      <c r="T141" s="43">
        <v>1494612.9459203605</v>
      </c>
      <c r="U141" s="12">
        <v>7117205</v>
      </c>
      <c r="V141" s="12">
        <v>5622592.0540796397</v>
      </c>
      <c r="W141" s="21">
        <v>0.29761904761904762</v>
      </c>
      <c r="X141" s="21">
        <v>0.36023645650309155</v>
      </c>
      <c r="Y141" t="s">
        <v>264</v>
      </c>
    </row>
    <row r="142" spans="1:25" x14ac:dyDescent="0.2">
      <c r="A142" t="s">
        <v>62</v>
      </c>
      <c r="B142" t="s">
        <v>23</v>
      </c>
      <c r="C142" t="s">
        <v>24</v>
      </c>
      <c r="D142" t="s">
        <v>41</v>
      </c>
      <c r="E142" t="s">
        <v>638</v>
      </c>
      <c r="F142" s="10">
        <v>46204</v>
      </c>
      <c r="G142" s="10">
        <v>46296</v>
      </c>
      <c r="H142" s="3" t="s">
        <v>43</v>
      </c>
      <c r="I142" t="s">
        <v>56</v>
      </c>
      <c r="J142" s="2">
        <v>3</v>
      </c>
      <c r="K142" t="s">
        <v>947</v>
      </c>
      <c r="L142" s="31">
        <v>3.0666666666666669</v>
      </c>
      <c r="M142" s="15" t="s">
        <v>49</v>
      </c>
      <c r="N142" t="s">
        <v>64</v>
      </c>
      <c r="O142" s="12">
        <v>1234426.8500000001</v>
      </c>
      <c r="P142" s="12">
        <v>3641848.0202740068</v>
      </c>
      <c r="Q142" s="13">
        <v>1.9502339650778064</v>
      </c>
      <c r="R142" s="11">
        <v>20</v>
      </c>
      <c r="S142" s="11">
        <v>111</v>
      </c>
      <c r="T142" s="12">
        <v>1158659.6903645352</v>
      </c>
      <c r="U142" s="12">
        <v>6436998</v>
      </c>
      <c r="V142" s="12">
        <v>5278338.309635465</v>
      </c>
      <c r="W142" s="13">
        <v>0.18018018018018017</v>
      </c>
      <c r="X142" s="21">
        <v>0.34650362996126405</v>
      </c>
      <c r="Y142" t="s">
        <v>266</v>
      </c>
    </row>
    <row r="143" spans="1:25" x14ac:dyDescent="0.2">
      <c r="A143" t="s">
        <v>65</v>
      </c>
      <c r="B143" t="s">
        <v>23</v>
      </c>
      <c r="C143" t="s">
        <v>24</v>
      </c>
      <c r="D143" t="s">
        <v>41</v>
      </c>
      <c r="E143" t="s">
        <v>639</v>
      </c>
      <c r="F143" s="10">
        <v>46296</v>
      </c>
      <c r="G143" s="10">
        <v>46388</v>
      </c>
      <c r="H143" s="3" t="s">
        <v>43</v>
      </c>
      <c r="I143" t="s">
        <v>56</v>
      </c>
      <c r="J143" s="2">
        <v>4</v>
      </c>
      <c r="K143" t="s">
        <v>947</v>
      </c>
      <c r="L143" s="31">
        <v>3.0666666666666669</v>
      </c>
      <c r="M143" t="s">
        <v>49</v>
      </c>
      <c r="N143" t="s">
        <v>53</v>
      </c>
      <c r="O143" s="12">
        <v>385476.85</v>
      </c>
      <c r="P143" s="12" t="s">
        <v>951</v>
      </c>
      <c r="Q143" s="13" t="s">
        <v>95</v>
      </c>
      <c r="R143" s="11" t="s">
        <v>95</v>
      </c>
      <c r="S143" s="11" t="s">
        <v>95</v>
      </c>
      <c r="T143" s="12" t="s">
        <v>95</v>
      </c>
      <c r="U143" s="12" t="s">
        <v>95</v>
      </c>
      <c r="V143" s="12" t="s">
        <v>95</v>
      </c>
      <c r="W143" s="13" t="s">
        <v>95</v>
      </c>
      <c r="X143" s="21">
        <v>0.34650362996126405</v>
      </c>
      <c r="Y143" t="s">
        <v>95</v>
      </c>
    </row>
    <row r="144" spans="1:25" x14ac:dyDescent="0.2">
      <c r="A144" t="s">
        <v>105</v>
      </c>
      <c r="B144" t="s">
        <v>23</v>
      </c>
      <c r="C144" t="s">
        <v>106</v>
      </c>
      <c r="D144" t="s">
        <v>107</v>
      </c>
      <c r="E144" t="s">
        <v>680</v>
      </c>
      <c r="F144" s="10">
        <v>46023</v>
      </c>
      <c r="G144" s="10">
        <v>46266</v>
      </c>
      <c r="H144" s="3" t="s">
        <v>70</v>
      </c>
      <c r="I144" t="s">
        <v>56</v>
      </c>
      <c r="J144" s="2">
        <v>1</v>
      </c>
      <c r="K144" t="s">
        <v>947</v>
      </c>
      <c r="L144" s="31">
        <v>9.1666666666666661</v>
      </c>
      <c r="M144" t="s">
        <v>49</v>
      </c>
      <c r="N144" t="s">
        <v>116</v>
      </c>
      <c r="O144" s="12">
        <v>471138.40555555554</v>
      </c>
      <c r="P144" s="12">
        <v>202222.22222222222</v>
      </c>
      <c r="Q144" s="13">
        <v>-0.57077958443280286</v>
      </c>
      <c r="R144" s="11" t="s">
        <v>95</v>
      </c>
      <c r="S144" s="11">
        <v>0</v>
      </c>
      <c r="T144" s="12">
        <v>0</v>
      </c>
      <c r="U144" s="12">
        <v>0</v>
      </c>
      <c r="V144" s="12">
        <v>0</v>
      </c>
      <c r="W144" s="21" t="s">
        <v>95</v>
      </c>
      <c r="X144" s="21" t="s">
        <v>95</v>
      </c>
      <c r="Y144" t="s">
        <v>270</v>
      </c>
    </row>
    <row r="145" spans="1:25" x14ac:dyDescent="0.2">
      <c r="A145" t="s">
        <v>168</v>
      </c>
      <c r="B145" t="s">
        <v>23</v>
      </c>
      <c r="C145" t="s">
        <v>106</v>
      </c>
      <c r="D145" t="s">
        <v>163</v>
      </c>
      <c r="E145" t="e">
        <v>#N/A</v>
      </c>
      <c r="F145" s="10">
        <v>45960</v>
      </c>
      <c r="G145" s="10">
        <v>46080</v>
      </c>
      <c r="H145" s="3" t="s">
        <v>70</v>
      </c>
      <c r="I145" t="s">
        <v>56</v>
      </c>
      <c r="J145" s="2">
        <v>1</v>
      </c>
      <c r="K145" t="s">
        <v>947</v>
      </c>
      <c r="L145" s="31">
        <v>3</v>
      </c>
      <c r="M145" t="s">
        <v>49</v>
      </c>
      <c r="O145" s="12">
        <v>385476.85</v>
      </c>
      <c r="P145" s="12" t="s">
        <v>951</v>
      </c>
      <c r="Q145" s="20" t="s">
        <v>95</v>
      </c>
      <c r="R145" s="11" t="s">
        <v>95</v>
      </c>
      <c r="S145" s="11" t="s">
        <v>95</v>
      </c>
      <c r="T145" s="12" t="s">
        <v>95</v>
      </c>
      <c r="U145" s="12" t="s">
        <v>95</v>
      </c>
      <c r="V145" s="12" t="s">
        <v>95</v>
      </c>
      <c r="W145" s="20" t="s">
        <v>95</v>
      </c>
      <c r="X145" s="21" t="s">
        <v>95</v>
      </c>
      <c r="Y145" t="s">
        <v>272</v>
      </c>
    </row>
    <row r="146" spans="1:25" x14ac:dyDescent="0.2">
      <c r="A146" t="s">
        <v>105</v>
      </c>
      <c r="B146" t="s">
        <v>23</v>
      </c>
      <c r="C146" t="s">
        <v>106</v>
      </c>
      <c r="D146" t="s">
        <v>107</v>
      </c>
      <c r="E146" t="s">
        <v>681</v>
      </c>
      <c r="F146" s="10">
        <v>46023</v>
      </c>
      <c r="G146" s="10">
        <v>46203</v>
      </c>
      <c r="H146" s="3" t="s">
        <v>70</v>
      </c>
      <c r="I146" t="s">
        <v>56</v>
      </c>
      <c r="J146" s="2">
        <v>2</v>
      </c>
      <c r="K146" t="s">
        <v>947</v>
      </c>
      <c r="L146" s="31">
        <v>6</v>
      </c>
      <c r="M146" t="s">
        <v>49</v>
      </c>
      <c r="N146" t="s">
        <v>117</v>
      </c>
      <c r="O146" s="12">
        <v>471138.40555555554</v>
      </c>
      <c r="P146" s="12">
        <v>202222.22222222222</v>
      </c>
      <c r="Q146" s="20">
        <v>-0.57077958443280286</v>
      </c>
      <c r="R146" s="11" t="s">
        <v>95</v>
      </c>
      <c r="S146" s="11">
        <v>0</v>
      </c>
      <c r="T146" s="12">
        <v>0</v>
      </c>
      <c r="U146" s="12">
        <v>0</v>
      </c>
      <c r="V146" s="12">
        <v>0</v>
      </c>
      <c r="W146" s="21" t="s">
        <v>95</v>
      </c>
      <c r="X146" s="21" t="s">
        <v>95</v>
      </c>
      <c r="Y146" t="s">
        <v>256</v>
      </c>
    </row>
    <row r="147" spans="1:25" x14ac:dyDescent="0.2">
      <c r="A147" t="s">
        <v>127</v>
      </c>
      <c r="B147" t="s">
        <v>23</v>
      </c>
      <c r="C147" t="s">
        <v>106</v>
      </c>
      <c r="D147" t="s">
        <v>128</v>
      </c>
      <c r="E147" t="s">
        <v>682</v>
      </c>
      <c r="F147" s="10">
        <v>45991</v>
      </c>
      <c r="G147" s="10">
        <v>46081</v>
      </c>
      <c r="H147" s="3" t="s">
        <v>70</v>
      </c>
      <c r="I147" t="s">
        <v>56</v>
      </c>
      <c r="J147" s="2">
        <v>2</v>
      </c>
      <c r="K147" t="s">
        <v>947</v>
      </c>
      <c r="L147" s="31">
        <v>3</v>
      </c>
      <c r="M147" t="s">
        <v>57</v>
      </c>
      <c r="O147" s="12">
        <v>770953.69</v>
      </c>
      <c r="P147" s="12" t="s">
        <v>951</v>
      </c>
      <c r="Q147" s="20" t="s">
        <v>95</v>
      </c>
      <c r="R147" s="11" t="s">
        <v>95</v>
      </c>
      <c r="S147" s="11" t="s">
        <v>95</v>
      </c>
      <c r="T147" s="12" t="s">
        <v>95</v>
      </c>
      <c r="U147" s="12" t="s">
        <v>95</v>
      </c>
      <c r="V147" s="12" t="s">
        <v>95</v>
      </c>
      <c r="W147" s="20" t="s">
        <v>95</v>
      </c>
      <c r="X147" s="21" t="s">
        <v>95</v>
      </c>
      <c r="Y147" t="s">
        <v>242</v>
      </c>
    </row>
    <row r="148" spans="1:25" x14ac:dyDescent="0.2">
      <c r="A148" t="s">
        <v>169</v>
      </c>
      <c r="B148" t="s">
        <v>23</v>
      </c>
      <c r="C148" t="s">
        <v>106</v>
      </c>
      <c r="D148" t="s">
        <v>163</v>
      </c>
      <c r="E148" t="e">
        <v>#N/A</v>
      </c>
      <c r="F148" s="10">
        <v>45930</v>
      </c>
      <c r="G148" s="10">
        <v>45990</v>
      </c>
      <c r="H148" s="3" t="s">
        <v>70</v>
      </c>
      <c r="I148" t="s">
        <v>56</v>
      </c>
      <c r="J148" s="2">
        <v>2</v>
      </c>
      <c r="K148" t="s">
        <v>947</v>
      </c>
      <c r="L148" s="31">
        <v>1</v>
      </c>
      <c r="M148" t="s">
        <v>121</v>
      </c>
      <c r="O148" s="12">
        <v>192738.42</v>
      </c>
      <c r="P148" s="12" t="s">
        <v>951</v>
      </c>
      <c r="Q148" s="20" t="s">
        <v>95</v>
      </c>
      <c r="R148" s="11" t="s">
        <v>95</v>
      </c>
      <c r="S148" s="11" t="s">
        <v>95</v>
      </c>
      <c r="T148" s="12" t="s">
        <v>95</v>
      </c>
      <c r="U148" s="12" t="s">
        <v>95</v>
      </c>
      <c r="V148" s="12" t="s">
        <v>95</v>
      </c>
      <c r="W148" s="20" t="s">
        <v>95</v>
      </c>
      <c r="X148" s="21" t="s">
        <v>95</v>
      </c>
      <c r="Y148" t="s">
        <v>95</v>
      </c>
    </row>
    <row r="149" spans="1:25" x14ac:dyDescent="0.2">
      <c r="B149" t="s">
        <v>23</v>
      </c>
      <c r="C149" t="s">
        <v>106</v>
      </c>
      <c r="D149" t="s">
        <v>107</v>
      </c>
      <c r="E149" t="s">
        <v>683</v>
      </c>
      <c r="F149" s="10">
        <v>46174</v>
      </c>
      <c r="G149" s="10">
        <v>46538</v>
      </c>
      <c r="H149" s="3" t="s">
        <v>70</v>
      </c>
      <c r="I149" s="3" t="s">
        <v>56</v>
      </c>
      <c r="J149">
        <v>3</v>
      </c>
      <c r="K149" t="s">
        <v>947</v>
      </c>
      <c r="L149" s="31">
        <v>12</v>
      </c>
      <c r="M149" t="s">
        <v>57</v>
      </c>
      <c r="N149" t="s">
        <v>118</v>
      </c>
      <c r="O149" s="12">
        <v>770953.69</v>
      </c>
      <c r="P149" s="12" t="s">
        <v>951</v>
      </c>
      <c r="Q149" s="13" t="s">
        <v>95</v>
      </c>
      <c r="R149" s="11" t="s">
        <v>95</v>
      </c>
      <c r="S149" s="11" t="s">
        <v>95</v>
      </c>
      <c r="T149" s="12" t="s">
        <v>95</v>
      </c>
      <c r="U149" s="12" t="s">
        <v>95</v>
      </c>
      <c r="V149" s="12" t="s">
        <v>95</v>
      </c>
      <c r="W149" s="21" t="s">
        <v>95</v>
      </c>
      <c r="X149" s="21" t="s">
        <v>95</v>
      </c>
      <c r="Y149" t="s">
        <v>254</v>
      </c>
    </row>
    <row r="150" spans="1:25" x14ac:dyDescent="0.2">
      <c r="A150" t="s">
        <v>170</v>
      </c>
      <c r="B150" t="s">
        <v>23</v>
      </c>
      <c r="C150" t="s">
        <v>106</v>
      </c>
      <c r="D150" t="s">
        <v>163</v>
      </c>
      <c r="E150" t="e">
        <v>#N/A</v>
      </c>
      <c r="F150" s="10">
        <v>45930</v>
      </c>
      <c r="G150" s="10">
        <v>45975</v>
      </c>
      <c r="H150" s="3" t="s">
        <v>70</v>
      </c>
      <c r="I150" t="s">
        <v>56</v>
      </c>
      <c r="J150" s="2">
        <v>3</v>
      </c>
      <c r="K150" t="s">
        <v>947</v>
      </c>
      <c r="L150" s="31">
        <v>2</v>
      </c>
      <c r="M150" t="s">
        <v>121</v>
      </c>
      <c r="O150" s="12">
        <v>192738.42</v>
      </c>
      <c r="P150" s="12" t="s">
        <v>951</v>
      </c>
      <c r="Q150" s="20" t="s">
        <v>95</v>
      </c>
      <c r="R150" s="11" t="s">
        <v>95</v>
      </c>
      <c r="S150" s="11" t="s">
        <v>95</v>
      </c>
      <c r="T150" s="12" t="s">
        <v>95</v>
      </c>
      <c r="U150" s="12" t="s">
        <v>95</v>
      </c>
      <c r="V150" s="12" t="s">
        <v>95</v>
      </c>
      <c r="W150" s="20" t="s">
        <v>95</v>
      </c>
      <c r="X150" s="21" t="s">
        <v>95</v>
      </c>
      <c r="Y150" t="s">
        <v>233</v>
      </c>
    </row>
    <row r="151" spans="1:25" x14ac:dyDescent="0.2">
      <c r="B151" t="s">
        <v>23</v>
      </c>
      <c r="C151" t="s">
        <v>106</v>
      </c>
      <c r="D151" t="s">
        <v>107</v>
      </c>
      <c r="E151" t="s">
        <v>684</v>
      </c>
      <c r="F151" s="10">
        <v>46204</v>
      </c>
      <c r="G151" s="10">
        <v>46265</v>
      </c>
      <c r="H151" s="3" t="s">
        <v>70</v>
      </c>
      <c r="I151" s="3" t="s">
        <v>56</v>
      </c>
      <c r="J151">
        <v>4</v>
      </c>
      <c r="K151" t="s">
        <v>947</v>
      </c>
      <c r="L151" s="31">
        <v>2</v>
      </c>
      <c r="M151" t="s">
        <v>49</v>
      </c>
      <c r="N151" t="s">
        <v>119</v>
      </c>
      <c r="O151" s="12">
        <v>385476.85</v>
      </c>
      <c r="P151" s="12" t="s">
        <v>951</v>
      </c>
      <c r="Q151" s="13" t="s">
        <v>95</v>
      </c>
      <c r="R151" s="11" t="s">
        <v>95</v>
      </c>
      <c r="S151" s="11" t="s">
        <v>95</v>
      </c>
      <c r="T151" s="12" t="s">
        <v>95</v>
      </c>
      <c r="U151" s="12" t="s">
        <v>95</v>
      </c>
      <c r="V151" s="12" t="s">
        <v>95</v>
      </c>
      <c r="W151" s="21" t="s">
        <v>95</v>
      </c>
      <c r="X151" s="21" t="s">
        <v>95</v>
      </c>
      <c r="Y151" t="s">
        <v>235</v>
      </c>
    </row>
    <row r="152" spans="1:25" x14ac:dyDescent="0.2">
      <c r="A152" t="s">
        <v>171</v>
      </c>
      <c r="B152" t="s">
        <v>23</v>
      </c>
      <c r="C152" t="s">
        <v>106</v>
      </c>
      <c r="D152" t="s">
        <v>163</v>
      </c>
      <c r="E152" t="e">
        <v>#N/A</v>
      </c>
      <c r="F152" s="10">
        <v>45960</v>
      </c>
      <c r="G152" s="10">
        <v>46080</v>
      </c>
      <c r="H152" s="3" t="s">
        <v>70</v>
      </c>
      <c r="I152" t="s">
        <v>56</v>
      </c>
      <c r="J152" s="2">
        <v>4</v>
      </c>
      <c r="K152" t="s">
        <v>947</v>
      </c>
      <c r="L152" s="31">
        <v>4</v>
      </c>
      <c r="M152" t="s">
        <v>49</v>
      </c>
      <c r="O152" s="12">
        <v>385476.85</v>
      </c>
      <c r="P152" s="12" t="s">
        <v>951</v>
      </c>
      <c r="Q152" s="20" t="s">
        <v>95</v>
      </c>
      <c r="R152" s="11" t="s">
        <v>95</v>
      </c>
      <c r="S152" s="11" t="s">
        <v>95</v>
      </c>
      <c r="T152" s="12" t="s">
        <v>95</v>
      </c>
      <c r="U152" s="12" t="s">
        <v>95</v>
      </c>
      <c r="V152" s="12" t="s">
        <v>95</v>
      </c>
      <c r="W152" s="20" t="s">
        <v>95</v>
      </c>
      <c r="X152" s="21" t="s">
        <v>95</v>
      </c>
      <c r="Y152" t="s">
        <v>236</v>
      </c>
    </row>
    <row r="153" spans="1:25" x14ac:dyDescent="0.2">
      <c r="B153" t="s">
        <v>23</v>
      </c>
      <c r="C153" t="s">
        <v>106</v>
      </c>
      <c r="D153" t="s">
        <v>107</v>
      </c>
      <c r="E153" t="s">
        <v>685</v>
      </c>
      <c r="F153" s="10">
        <v>46204</v>
      </c>
      <c r="G153" s="10">
        <v>46386</v>
      </c>
      <c r="H153" s="3" t="s">
        <v>70</v>
      </c>
      <c r="I153" s="3" t="s">
        <v>56</v>
      </c>
      <c r="J153">
        <v>5</v>
      </c>
      <c r="K153" t="s">
        <v>947</v>
      </c>
      <c r="L153" s="31">
        <v>6</v>
      </c>
      <c r="M153" t="s">
        <v>57</v>
      </c>
      <c r="N153" t="s">
        <v>120</v>
      </c>
      <c r="O153" s="12">
        <v>770953.69</v>
      </c>
      <c r="P153" s="12" t="s">
        <v>951</v>
      </c>
      <c r="Q153" s="13" t="s">
        <v>95</v>
      </c>
      <c r="R153" s="11" t="s">
        <v>95</v>
      </c>
      <c r="S153" s="11" t="s">
        <v>95</v>
      </c>
      <c r="T153" s="12" t="s">
        <v>95</v>
      </c>
      <c r="U153" s="12" t="s">
        <v>95</v>
      </c>
      <c r="V153" s="12" t="s">
        <v>95</v>
      </c>
      <c r="W153" s="21" t="s">
        <v>95</v>
      </c>
      <c r="X153" s="21" t="s">
        <v>95</v>
      </c>
      <c r="Y153" t="s">
        <v>237</v>
      </c>
    </row>
    <row r="154" spans="1:25" x14ac:dyDescent="0.2">
      <c r="A154" t="s">
        <v>172</v>
      </c>
      <c r="B154" t="s">
        <v>23</v>
      </c>
      <c r="C154" t="s">
        <v>106</v>
      </c>
      <c r="D154" t="s">
        <v>163</v>
      </c>
      <c r="E154" t="e">
        <v>#N/A</v>
      </c>
      <c r="F154" s="10">
        <v>45990</v>
      </c>
      <c r="G154" s="10">
        <v>46080</v>
      </c>
      <c r="H154" s="3" t="s">
        <v>70</v>
      </c>
      <c r="I154" t="s">
        <v>56</v>
      </c>
      <c r="J154" s="2">
        <v>5</v>
      </c>
      <c r="K154" t="s">
        <v>947</v>
      </c>
      <c r="L154" s="31">
        <v>5</v>
      </c>
      <c r="M154" t="s">
        <v>49</v>
      </c>
      <c r="O154" s="12">
        <v>385476.85</v>
      </c>
      <c r="P154" s="12" t="s">
        <v>951</v>
      </c>
      <c r="Q154" s="20" t="s">
        <v>95</v>
      </c>
      <c r="R154" s="11" t="s">
        <v>95</v>
      </c>
      <c r="S154" s="11" t="s">
        <v>95</v>
      </c>
      <c r="T154" s="12" t="s">
        <v>95</v>
      </c>
      <c r="U154" s="12" t="s">
        <v>95</v>
      </c>
      <c r="V154" s="12" t="s">
        <v>95</v>
      </c>
      <c r="W154" s="20" t="s">
        <v>95</v>
      </c>
      <c r="X154" s="21" t="s">
        <v>95</v>
      </c>
      <c r="Y154" t="s">
        <v>239</v>
      </c>
    </row>
    <row r="155" spans="1:25" x14ac:dyDescent="0.2">
      <c r="B155" t="s">
        <v>23</v>
      </c>
      <c r="C155" t="s">
        <v>106</v>
      </c>
      <c r="D155" t="s">
        <v>107</v>
      </c>
      <c r="E155" t="s">
        <v>686</v>
      </c>
      <c r="F155" s="10">
        <v>46266</v>
      </c>
      <c r="G155" s="10">
        <v>46326</v>
      </c>
      <c r="H155" s="3" t="s">
        <v>70</v>
      </c>
      <c r="I155" s="3" t="s">
        <v>56</v>
      </c>
      <c r="J155">
        <v>6</v>
      </c>
      <c r="K155" t="s">
        <v>947</v>
      </c>
      <c r="L155" s="31">
        <v>2</v>
      </c>
      <c r="M155" t="s">
        <v>121</v>
      </c>
      <c r="N155" t="s">
        <v>122</v>
      </c>
      <c r="O155" s="12">
        <v>192738.42</v>
      </c>
      <c r="P155" s="12" t="s">
        <v>951</v>
      </c>
      <c r="Q155" s="13" t="s">
        <v>95</v>
      </c>
      <c r="R155" s="11" t="s">
        <v>95</v>
      </c>
      <c r="S155" s="11" t="s">
        <v>95</v>
      </c>
      <c r="T155" s="12" t="s">
        <v>95</v>
      </c>
      <c r="U155" s="12" t="s">
        <v>95</v>
      </c>
      <c r="V155" s="12" t="s">
        <v>95</v>
      </c>
      <c r="W155" s="21" t="s">
        <v>95</v>
      </c>
      <c r="X155" s="21" t="s">
        <v>95</v>
      </c>
      <c r="Y155" t="s">
        <v>240</v>
      </c>
    </row>
    <row r="156" spans="1:25" x14ac:dyDescent="0.2">
      <c r="B156" t="s">
        <v>23</v>
      </c>
      <c r="C156" t="s">
        <v>106</v>
      </c>
      <c r="D156" t="s">
        <v>163</v>
      </c>
      <c r="E156" t="e">
        <v>#N/A</v>
      </c>
      <c r="F156" s="10">
        <v>46023</v>
      </c>
      <c r="G156" s="10">
        <v>46127</v>
      </c>
      <c r="H156" s="3" t="s">
        <v>70</v>
      </c>
      <c r="I156" t="s">
        <v>56</v>
      </c>
      <c r="J156" s="2">
        <v>6</v>
      </c>
      <c r="K156" t="s">
        <v>947</v>
      </c>
      <c r="L156" s="31">
        <v>6</v>
      </c>
      <c r="M156" t="s">
        <v>49</v>
      </c>
      <c r="O156" s="12">
        <v>385476.85</v>
      </c>
      <c r="P156" s="12" t="s">
        <v>951</v>
      </c>
      <c r="Q156" s="20" t="s">
        <v>95</v>
      </c>
      <c r="R156" s="11" t="s">
        <v>95</v>
      </c>
      <c r="S156" s="11" t="s">
        <v>95</v>
      </c>
      <c r="T156" s="12" t="s">
        <v>95</v>
      </c>
      <c r="U156" s="12" t="s">
        <v>95</v>
      </c>
      <c r="V156" s="12" t="s">
        <v>95</v>
      </c>
      <c r="W156" s="20" t="s">
        <v>95</v>
      </c>
      <c r="X156" s="21" t="s">
        <v>95</v>
      </c>
      <c r="Y156" t="s">
        <v>243</v>
      </c>
    </row>
    <row r="157" spans="1:25" x14ac:dyDescent="0.2">
      <c r="B157" t="s">
        <v>23</v>
      </c>
      <c r="C157" t="s">
        <v>106</v>
      </c>
      <c r="D157" t="s">
        <v>107</v>
      </c>
      <c r="E157" t="s">
        <v>687</v>
      </c>
      <c r="F157" s="10">
        <v>46327</v>
      </c>
      <c r="G157" s="10">
        <v>46477</v>
      </c>
      <c r="H157" s="3" t="s">
        <v>70</v>
      </c>
      <c r="I157" s="3" t="s">
        <v>56</v>
      </c>
      <c r="J157">
        <v>7</v>
      </c>
      <c r="K157" t="s">
        <v>947</v>
      </c>
      <c r="L157" s="31">
        <v>5</v>
      </c>
      <c r="M157" t="s">
        <v>121</v>
      </c>
      <c r="N157" t="s">
        <v>123</v>
      </c>
      <c r="O157" s="12">
        <v>192738.42</v>
      </c>
      <c r="P157" s="12" t="s">
        <v>951</v>
      </c>
      <c r="Q157" s="13" t="s">
        <v>95</v>
      </c>
      <c r="R157" s="11" t="s">
        <v>95</v>
      </c>
      <c r="S157" s="11" t="s">
        <v>95</v>
      </c>
      <c r="T157" s="12" t="s">
        <v>95</v>
      </c>
      <c r="U157" s="12" t="s">
        <v>95</v>
      </c>
      <c r="V157" s="12" t="s">
        <v>95</v>
      </c>
      <c r="W157" s="21" t="s">
        <v>95</v>
      </c>
      <c r="X157" s="21" t="s">
        <v>95</v>
      </c>
      <c r="Y157" t="s">
        <v>95</v>
      </c>
    </row>
    <row r="158" spans="1:25" x14ac:dyDescent="0.2">
      <c r="B158" t="s">
        <v>23</v>
      </c>
      <c r="C158" t="s">
        <v>106</v>
      </c>
      <c r="D158" t="s">
        <v>107</v>
      </c>
      <c r="E158" t="s">
        <v>688</v>
      </c>
      <c r="F158" s="10">
        <v>46539</v>
      </c>
      <c r="G158" s="10">
        <v>46752</v>
      </c>
      <c r="H158" s="3" t="s">
        <v>70</v>
      </c>
      <c r="I158" s="3" t="s">
        <v>56</v>
      </c>
      <c r="J158">
        <v>14</v>
      </c>
      <c r="K158" t="s">
        <v>947</v>
      </c>
      <c r="L158" s="31">
        <v>6</v>
      </c>
      <c r="M158" t="s">
        <v>49</v>
      </c>
      <c r="N158" t="s">
        <v>125</v>
      </c>
      <c r="O158" s="12">
        <v>385476.85</v>
      </c>
      <c r="P158" s="12" t="s">
        <v>951</v>
      </c>
      <c r="Q158" s="13" t="s">
        <v>95</v>
      </c>
      <c r="R158" s="11" t="s">
        <v>95</v>
      </c>
      <c r="S158" s="11" t="s">
        <v>95</v>
      </c>
      <c r="T158" s="12" t="s">
        <v>95</v>
      </c>
      <c r="U158" s="12" t="s">
        <v>95</v>
      </c>
      <c r="V158" s="12" t="s">
        <v>95</v>
      </c>
      <c r="W158" s="21" t="s">
        <v>95</v>
      </c>
      <c r="X158" s="21" t="s">
        <v>95</v>
      </c>
      <c r="Y158" t="s">
        <v>95</v>
      </c>
    </row>
    <row r="159" spans="1:25" x14ac:dyDescent="0.2">
      <c r="A159" s="15"/>
      <c r="B159" s="15" t="s">
        <v>97</v>
      </c>
      <c r="C159" s="15" t="s">
        <v>106</v>
      </c>
      <c r="D159" s="15" t="s">
        <v>134</v>
      </c>
      <c r="E159" t="s">
        <v>689</v>
      </c>
      <c r="F159" s="19"/>
      <c r="G159" s="19"/>
      <c r="H159" s="16" t="s">
        <v>70</v>
      </c>
      <c r="I159" s="15" t="s">
        <v>56</v>
      </c>
      <c r="J159" s="17"/>
      <c r="K159" t="s">
        <v>947</v>
      </c>
      <c r="L159" s="32"/>
      <c r="M159" s="15"/>
      <c r="N159" s="15"/>
      <c r="O159">
        <v>0</v>
      </c>
      <c r="P159" t="s">
        <v>951</v>
      </c>
      <c r="Q159" t="s">
        <v>95</v>
      </c>
      <c r="R159" s="27" t="s">
        <v>95</v>
      </c>
      <c r="S159" s="27" t="s">
        <v>95</v>
      </c>
      <c r="T159" s="27" t="s">
        <v>95</v>
      </c>
      <c r="U159" t="s">
        <v>95</v>
      </c>
      <c r="V159" t="s">
        <v>95</v>
      </c>
      <c r="W159" s="23" t="s">
        <v>95</v>
      </c>
      <c r="X159" s="23" t="s">
        <v>95</v>
      </c>
      <c r="Y159" t="s">
        <v>297</v>
      </c>
    </row>
    <row r="160" spans="1:25" x14ac:dyDescent="0.2">
      <c r="A160" s="15"/>
      <c r="B160" s="15" t="s">
        <v>97</v>
      </c>
      <c r="C160" s="15" t="s">
        <v>106</v>
      </c>
      <c r="D160" s="15" t="s">
        <v>134</v>
      </c>
      <c r="E160" t="s">
        <v>690</v>
      </c>
      <c r="F160" s="19"/>
      <c r="G160" s="19"/>
      <c r="H160" s="16" t="s">
        <v>70</v>
      </c>
      <c r="I160" s="15" t="s">
        <v>56</v>
      </c>
      <c r="J160" s="17"/>
      <c r="K160" t="s">
        <v>947</v>
      </c>
      <c r="L160" s="32"/>
      <c r="M160" s="15"/>
      <c r="N160" s="15"/>
      <c r="O160">
        <v>0</v>
      </c>
      <c r="P160" t="s">
        <v>951</v>
      </c>
      <c r="Q160" t="s">
        <v>95</v>
      </c>
      <c r="R160" s="27" t="s">
        <v>95</v>
      </c>
      <c r="S160" s="27" t="s">
        <v>95</v>
      </c>
      <c r="T160" s="27" t="s">
        <v>95</v>
      </c>
      <c r="U160" t="s">
        <v>95</v>
      </c>
      <c r="V160" t="s">
        <v>95</v>
      </c>
      <c r="W160" s="23" t="s">
        <v>95</v>
      </c>
      <c r="X160" s="23" t="s">
        <v>95</v>
      </c>
      <c r="Y160" t="s">
        <v>299</v>
      </c>
    </row>
    <row r="161" spans="1:25" x14ac:dyDescent="0.2">
      <c r="B161" t="s">
        <v>97</v>
      </c>
      <c r="C161" t="s">
        <v>106</v>
      </c>
      <c r="D161" t="s">
        <v>134</v>
      </c>
      <c r="E161" t="s">
        <v>691</v>
      </c>
      <c r="F161" s="10">
        <v>46008</v>
      </c>
      <c r="G161" s="10">
        <v>46082</v>
      </c>
      <c r="H161" s="3" t="s">
        <v>70</v>
      </c>
      <c r="I161" t="s">
        <v>56</v>
      </c>
      <c r="K161" t="s">
        <v>947</v>
      </c>
      <c r="O161">
        <v>0</v>
      </c>
      <c r="P161" t="s">
        <v>951</v>
      </c>
      <c r="Q161" t="s">
        <v>95</v>
      </c>
      <c r="R161" s="27" t="s">
        <v>95</v>
      </c>
      <c r="S161" s="27" t="s">
        <v>95</v>
      </c>
      <c r="T161" s="27" t="s">
        <v>95</v>
      </c>
      <c r="U161" t="s">
        <v>95</v>
      </c>
      <c r="V161" t="s">
        <v>95</v>
      </c>
      <c r="W161" s="23" t="s">
        <v>95</v>
      </c>
      <c r="X161" s="23" t="s">
        <v>95</v>
      </c>
      <c r="Y161" t="s">
        <v>95</v>
      </c>
    </row>
    <row r="162" spans="1:25" x14ac:dyDescent="0.2">
      <c r="A162" t="s">
        <v>221</v>
      </c>
      <c r="B162" t="s">
        <v>210</v>
      </c>
      <c r="C162" t="s">
        <v>203</v>
      </c>
      <c r="D162" t="s">
        <v>211</v>
      </c>
      <c r="E162" t="s">
        <v>743</v>
      </c>
      <c r="F162" s="10">
        <v>46083</v>
      </c>
      <c r="G162" s="10">
        <v>46265</v>
      </c>
      <c r="H162" s="3" t="s">
        <v>216</v>
      </c>
      <c r="I162" t="s">
        <v>56</v>
      </c>
      <c r="J162" s="2">
        <v>1</v>
      </c>
      <c r="K162" t="s">
        <v>947</v>
      </c>
      <c r="L162" s="31">
        <v>6.0666666666666664</v>
      </c>
      <c r="M162" s="33" t="s">
        <v>57</v>
      </c>
      <c r="O162" s="12">
        <v>770953.69</v>
      </c>
      <c r="P162" s="12">
        <v>8650167.7637729403</v>
      </c>
      <c r="Q162" s="13">
        <v>10.220087374862867</v>
      </c>
      <c r="R162" s="11">
        <v>97</v>
      </c>
      <c r="S162" s="11">
        <v>646</v>
      </c>
      <c r="T162" s="12">
        <v>8150167.7637729403</v>
      </c>
      <c r="U162" s="12">
        <v>54334452</v>
      </c>
      <c r="V162" s="12">
        <v>46184284.236227058</v>
      </c>
      <c r="W162" s="13">
        <v>0.15015479876160992</v>
      </c>
      <c r="X162" s="21">
        <v>0.49613900866607147</v>
      </c>
      <c r="Y162" t="s">
        <v>95</v>
      </c>
    </row>
    <row r="163" spans="1:25" x14ac:dyDescent="0.2">
      <c r="A163" t="s">
        <v>59</v>
      </c>
      <c r="B163" t="s">
        <v>23</v>
      </c>
      <c r="C163" t="s">
        <v>203</v>
      </c>
      <c r="D163" t="s">
        <v>211</v>
      </c>
      <c r="E163" t="s">
        <v>744</v>
      </c>
      <c r="F163" s="10">
        <v>46082</v>
      </c>
      <c r="G163" s="10">
        <v>46296</v>
      </c>
      <c r="H163" s="3" t="s">
        <v>27</v>
      </c>
      <c r="I163" t="s">
        <v>56</v>
      </c>
      <c r="J163" s="2">
        <v>2</v>
      </c>
      <c r="K163" t="s">
        <v>947</v>
      </c>
      <c r="L163" s="31">
        <v>7.1333333333333337</v>
      </c>
      <c r="M163" t="s">
        <v>61</v>
      </c>
      <c r="O163" s="12">
        <v>1156430.54</v>
      </c>
      <c r="P163" s="12">
        <v>713691.76001218474</v>
      </c>
      <c r="Q163" s="20">
        <v>-0.38284943597893506</v>
      </c>
      <c r="R163" s="11">
        <v>10</v>
      </c>
      <c r="S163" s="11">
        <v>20</v>
      </c>
      <c r="T163" s="12">
        <v>713691.76001218474</v>
      </c>
      <c r="U163" s="12">
        <v>1427384</v>
      </c>
      <c r="V163" s="12">
        <v>713692.23998781526</v>
      </c>
      <c r="W163" s="20">
        <v>0.5</v>
      </c>
      <c r="X163" s="21">
        <v>0.22048781761400371</v>
      </c>
      <c r="Y163" t="s">
        <v>289</v>
      </c>
    </row>
    <row r="164" spans="1:25" x14ac:dyDescent="0.2">
      <c r="A164" t="s">
        <v>222</v>
      </c>
      <c r="B164" t="s">
        <v>210</v>
      </c>
      <c r="C164" t="s">
        <v>203</v>
      </c>
      <c r="D164" t="s">
        <v>211</v>
      </c>
      <c r="E164" t="s">
        <v>745</v>
      </c>
      <c r="F164" s="10">
        <v>46113</v>
      </c>
      <c r="G164" s="10">
        <v>46326</v>
      </c>
      <c r="H164" s="3" t="s">
        <v>43</v>
      </c>
      <c r="I164" t="s">
        <v>56</v>
      </c>
      <c r="J164" s="2">
        <v>2</v>
      </c>
      <c r="K164" t="s">
        <v>947</v>
      </c>
      <c r="L164" s="31">
        <v>6.1</v>
      </c>
      <c r="M164" t="s">
        <v>57</v>
      </c>
      <c r="O164" s="12">
        <v>770953.69</v>
      </c>
      <c r="P164" s="12">
        <v>2600000</v>
      </c>
      <c r="Q164" s="20">
        <v>2.3724464046601814</v>
      </c>
      <c r="R164" s="11" t="s">
        <v>95</v>
      </c>
      <c r="S164" s="11">
        <v>0</v>
      </c>
      <c r="T164" s="12">
        <v>0</v>
      </c>
      <c r="U164" s="12">
        <v>0</v>
      </c>
      <c r="V164" s="12">
        <v>0</v>
      </c>
      <c r="W164" s="21" t="s">
        <v>95</v>
      </c>
      <c r="X164" s="21">
        <v>0.34650362996126405</v>
      </c>
      <c r="Y164" t="s">
        <v>95</v>
      </c>
    </row>
    <row r="165" spans="1:25" x14ac:dyDescent="0.2">
      <c r="A165" t="s">
        <v>231</v>
      </c>
      <c r="B165" t="s">
        <v>23</v>
      </c>
      <c r="C165" t="s">
        <v>203</v>
      </c>
      <c r="D165" t="s">
        <v>129</v>
      </c>
      <c r="E165" t="s">
        <v>746</v>
      </c>
      <c r="F165" s="10">
        <v>46079</v>
      </c>
      <c r="G165" s="10">
        <v>46204</v>
      </c>
      <c r="H165" s="3" t="s">
        <v>137</v>
      </c>
      <c r="I165" t="s">
        <v>56</v>
      </c>
      <c r="J165" s="2">
        <v>2</v>
      </c>
      <c r="K165" t="s">
        <v>947</v>
      </c>
      <c r="L165" s="31">
        <v>3</v>
      </c>
      <c r="M165" t="s">
        <v>49</v>
      </c>
      <c r="N165" t="s">
        <v>608</v>
      </c>
      <c r="O165" s="12">
        <v>1058203.8500000001</v>
      </c>
      <c r="P165" s="12">
        <v>917900</v>
      </c>
      <c r="Q165" s="20">
        <v>-0.13258678845290545</v>
      </c>
      <c r="R165" s="11">
        <v>8</v>
      </c>
      <c r="S165" s="11">
        <v>29</v>
      </c>
      <c r="T165" s="12">
        <v>303356.12341053149</v>
      </c>
      <c r="U165" s="12">
        <v>1155767</v>
      </c>
      <c r="V165" s="12">
        <v>852410.87658946845</v>
      </c>
      <c r="W165" s="21">
        <v>0.27586206896551724</v>
      </c>
      <c r="X165" s="21">
        <v>0.27608748713747122</v>
      </c>
      <c r="Y165" t="s">
        <v>95</v>
      </c>
    </row>
    <row r="166" spans="1:25" x14ac:dyDescent="0.2">
      <c r="B166" t="s">
        <v>23</v>
      </c>
      <c r="C166" t="s">
        <v>203</v>
      </c>
      <c r="D166" t="s">
        <v>129</v>
      </c>
      <c r="E166" t="s">
        <v>747</v>
      </c>
      <c r="F166" s="10">
        <v>46009</v>
      </c>
      <c r="G166" s="10">
        <v>46064</v>
      </c>
      <c r="H166" s="3" t="s">
        <v>137</v>
      </c>
      <c r="I166" t="s">
        <v>56</v>
      </c>
      <c r="J166" s="2">
        <v>3</v>
      </c>
      <c r="K166" t="s">
        <v>947</v>
      </c>
      <c r="L166" s="31">
        <v>1</v>
      </c>
      <c r="M166" t="s">
        <v>121</v>
      </c>
      <c r="N166" t="s">
        <v>233</v>
      </c>
      <c r="O166" s="12">
        <v>192738.42</v>
      </c>
      <c r="P166" s="12" t="s">
        <v>951</v>
      </c>
      <c r="Q166" s="20" t="s">
        <v>95</v>
      </c>
      <c r="R166" s="11" t="s">
        <v>95</v>
      </c>
      <c r="S166" s="11" t="s">
        <v>95</v>
      </c>
      <c r="T166" s="12" t="s">
        <v>95</v>
      </c>
      <c r="U166" s="12" t="s">
        <v>95</v>
      </c>
      <c r="V166" s="12" t="s">
        <v>95</v>
      </c>
      <c r="W166" s="21" t="s">
        <v>95</v>
      </c>
      <c r="X166" s="21">
        <v>0.27608748713747122</v>
      </c>
      <c r="Y166" t="s">
        <v>308</v>
      </c>
    </row>
    <row r="167" spans="1:25" x14ac:dyDescent="0.2">
      <c r="B167" t="s">
        <v>23</v>
      </c>
      <c r="C167" t="s">
        <v>203</v>
      </c>
      <c r="D167" t="s">
        <v>129</v>
      </c>
      <c r="E167" t="s">
        <v>748</v>
      </c>
      <c r="F167" s="10">
        <v>46009</v>
      </c>
      <c r="G167" s="10">
        <v>46064</v>
      </c>
      <c r="H167" s="3" t="s">
        <v>137</v>
      </c>
      <c r="I167" t="s">
        <v>56</v>
      </c>
      <c r="J167" s="2">
        <v>4</v>
      </c>
      <c r="K167" t="s">
        <v>947</v>
      </c>
      <c r="L167" s="31">
        <v>2</v>
      </c>
      <c r="M167" t="s">
        <v>49</v>
      </c>
      <c r="N167" t="s">
        <v>235</v>
      </c>
      <c r="O167" s="12">
        <v>385476.85</v>
      </c>
      <c r="P167" s="12" t="s">
        <v>951</v>
      </c>
      <c r="Q167" s="20" t="s">
        <v>95</v>
      </c>
      <c r="R167" s="11" t="s">
        <v>95</v>
      </c>
      <c r="S167" s="11" t="s">
        <v>95</v>
      </c>
      <c r="T167" s="12" t="s">
        <v>95</v>
      </c>
      <c r="U167" s="12" t="s">
        <v>95</v>
      </c>
      <c r="V167" s="12" t="s">
        <v>95</v>
      </c>
      <c r="W167" s="21" t="s">
        <v>95</v>
      </c>
      <c r="X167" s="21">
        <v>0.27608748713747122</v>
      </c>
      <c r="Y167" t="s">
        <v>95</v>
      </c>
    </row>
    <row r="168" spans="1:25" x14ac:dyDescent="0.2">
      <c r="B168" t="s">
        <v>23</v>
      </c>
      <c r="C168" t="s">
        <v>203</v>
      </c>
      <c r="D168" t="s">
        <v>129</v>
      </c>
      <c r="E168" t="s">
        <v>749</v>
      </c>
      <c r="F168" s="10">
        <v>46079</v>
      </c>
      <c r="G168" s="10">
        <v>46204</v>
      </c>
      <c r="H168" s="3" t="s">
        <v>137</v>
      </c>
      <c r="I168" t="s">
        <v>56</v>
      </c>
      <c r="J168" s="2">
        <v>5</v>
      </c>
      <c r="K168" t="s">
        <v>947</v>
      </c>
      <c r="L168" s="31">
        <v>9</v>
      </c>
      <c r="M168" t="s">
        <v>61</v>
      </c>
      <c r="N168" t="s">
        <v>236</v>
      </c>
      <c r="O168" s="12">
        <v>1156430.54</v>
      </c>
      <c r="P168" s="12" t="s">
        <v>951</v>
      </c>
      <c r="Q168" s="20" t="s">
        <v>95</v>
      </c>
      <c r="R168" s="11" t="s">
        <v>95</v>
      </c>
      <c r="S168" s="11" t="s">
        <v>95</v>
      </c>
      <c r="T168" s="12" t="s">
        <v>95</v>
      </c>
      <c r="U168" s="12" t="s">
        <v>95</v>
      </c>
      <c r="V168" s="12" t="s">
        <v>95</v>
      </c>
      <c r="W168" s="21" t="s">
        <v>95</v>
      </c>
      <c r="X168" s="21">
        <v>0.27608748713747122</v>
      </c>
      <c r="Y168" t="s">
        <v>303</v>
      </c>
    </row>
    <row r="169" spans="1:25" x14ac:dyDescent="0.2">
      <c r="B169" t="s">
        <v>23</v>
      </c>
      <c r="C169" t="s">
        <v>203</v>
      </c>
      <c r="D169" t="s">
        <v>129</v>
      </c>
      <c r="E169" t="s">
        <v>750</v>
      </c>
      <c r="F169" s="10">
        <v>46079</v>
      </c>
      <c r="G169" s="10">
        <v>46204</v>
      </c>
      <c r="H169" s="3" t="s">
        <v>137</v>
      </c>
      <c r="I169" t="s">
        <v>56</v>
      </c>
      <c r="J169" s="2">
        <v>6</v>
      </c>
      <c r="K169" t="s">
        <v>947</v>
      </c>
      <c r="L169" s="31">
        <v>1</v>
      </c>
      <c r="M169" t="s">
        <v>121</v>
      </c>
      <c r="N169" t="s">
        <v>237</v>
      </c>
      <c r="O169" s="12">
        <v>192738.42</v>
      </c>
      <c r="P169" s="12" t="s">
        <v>951</v>
      </c>
      <c r="Q169" s="20" t="s">
        <v>95</v>
      </c>
      <c r="R169" s="11" t="s">
        <v>95</v>
      </c>
      <c r="S169" s="11" t="s">
        <v>95</v>
      </c>
      <c r="T169" s="12" t="s">
        <v>95</v>
      </c>
      <c r="U169" s="12" t="s">
        <v>95</v>
      </c>
      <c r="V169" s="12" t="s">
        <v>95</v>
      </c>
      <c r="W169" s="21" t="s">
        <v>95</v>
      </c>
      <c r="X169" s="21">
        <v>0.27608748713747122</v>
      </c>
      <c r="Y169" t="s">
        <v>305</v>
      </c>
    </row>
    <row r="170" spans="1:25" ht="17.25" customHeight="1" x14ac:dyDescent="0.2">
      <c r="B170" t="s">
        <v>23</v>
      </c>
      <c r="C170" t="s">
        <v>203</v>
      </c>
      <c r="D170" t="s">
        <v>129</v>
      </c>
      <c r="E170" t="s">
        <v>504</v>
      </c>
      <c r="F170" s="10">
        <v>46079</v>
      </c>
      <c r="G170" s="10">
        <v>46414</v>
      </c>
      <c r="H170" s="3" t="s">
        <v>520</v>
      </c>
      <c r="I170" t="s">
        <v>56</v>
      </c>
      <c r="J170" s="2">
        <v>7</v>
      </c>
      <c r="K170" t="s">
        <v>947</v>
      </c>
      <c r="L170" s="31">
        <v>11.166666666666666</v>
      </c>
      <c r="M170" t="s">
        <v>61</v>
      </c>
      <c r="N170" t="s">
        <v>239</v>
      </c>
      <c r="O170" s="12">
        <v>1156430.54</v>
      </c>
      <c r="P170" s="12" t="s">
        <v>951</v>
      </c>
      <c r="Q170" s="20" t="s">
        <v>95</v>
      </c>
      <c r="R170" s="11" t="s">
        <v>95</v>
      </c>
      <c r="S170" s="11" t="s">
        <v>95</v>
      </c>
      <c r="T170" s="12" t="s">
        <v>95</v>
      </c>
      <c r="U170" s="12" t="s">
        <v>95</v>
      </c>
      <c r="V170" s="12" t="s">
        <v>95</v>
      </c>
      <c r="W170" s="21" t="s">
        <v>95</v>
      </c>
      <c r="X170" s="21">
        <v>0.13669334365346159</v>
      </c>
      <c r="Y170" t="s">
        <v>307</v>
      </c>
    </row>
    <row r="171" spans="1:25" x14ac:dyDescent="0.2">
      <c r="B171" t="s">
        <v>23</v>
      </c>
      <c r="C171" t="s">
        <v>203</v>
      </c>
      <c r="D171" t="s">
        <v>129</v>
      </c>
      <c r="E171" t="s">
        <v>751</v>
      </c>
      <c r="F171" s="10">
        <v>46149</v>
      </c>
      <c r="G171" s="10">
        <v>46274</v>
      </c>
      <c r="H171" s="3" t="s">
        <v>520</v>
      </c>
      <c r="I171" t="s">
        <v>56</v>
      </c>
      <c r="J171" s="2">
        <v>8</v>
      </c>
      <c r="K171" t="s">
        <v>947</v>
      </c>
      <c r="L171" s="31">
        <v>4.166666666666667</v>
      </c>
      <c r="M171" t="s">
        <v>49</v>
      </c>
      <c r="N171" t="s">
        <v>240</v>
      </c>
      <c r="O171" s="12">
        <v>385476.85</v>
      </c>
      <c r="P171" s="12" t="s">
        <v>951</v>
      </c>
      <c r="Q171" s="20" t="s">
        <v>95</v>
      </c>
      <c r="R171" s="11" t="s">
        <v>95</v>
      </c>
      <c r="S171" s="11" t="s">
        <v>95</v>
      </c>
      <c r="T171" s="12" t="s">
        <v>95</v>
      </c>
      <c r="U171" s="12" t="s">
        <v>95</v>
      </c>
      <c r="V171" s="12" t="s">
        <v>95</v>
      </c>
      <c r="W171" s="21" t="s">
        <v>95</v>
      </c>
      <c r="X171" s="21">
        <v>0.13669334365346159</v>
      </c>
      <c r="Y171" t="s">
        <v>308</v>
      </c>
    </row>
    <row r="172" spans="1:25" x14ac:dyDescent="0.2">
      <c r="B172" t="s">
        <v>23</v>
      </c>
      <c r="C172" t="s">
        <v>203</v>
      </c>
      <c r="D172" t="s">
        <v>129</v>
      </c>
      <c r="E172" t="s">
        <v>752</v>
      </c>
      <c r="F172" s="10">
        <v>46149</v>
      </c>
      <c r="G172" s="10">
        <v>46274</v>
      </c>
      <c r="H172" s="3" t="s">
        <v>520</v>
      </c>
      <c r="I172" t="s">
        <v>56</v>
      </c>
      <c r="J172" s="2">
        <v>9</v>
      </c>
      <c r="K172" t="s">
        <v>947</v>
      </c>
      <c r="L172" s="31">
        <v>4.166666666666667</v>
      </c>
      <c r="M172" t="s">
        <v>57</v>
      </c>
      <c r="N172" t="s">
        <v>242</v>
      </c>
      <c r="O172" s="12">
        <v>770953.69</v>
      </c>
      <c r="P172" s="12" t="s">
        <v>951</v>
      </c>
      <c r="Q172" s="20" t="s">
        <v>95</v>
      </c>
      <c r="R172" s="11" t="s">
        <v>95</v>
      </c>
      <c r="S172" s="11" t="s">
        <v>95</v>
      </c>
      <c r="T172" s="12" t="s">
        <v>95</v>
      </c>
      <c r="U172" s="12" t="s">
        <v>95</v>
      </c>
      <c r="V172" s="12" t="s">
        <v>95</v>
      </c>
      <c r="W172" s="21" t="s">
        <v>95</v>
      </c>
      <c r="X172" s="21">
        <v>0.13669334365346159</v>
      </c>
      <c r="Y172" t="s">
        <v>308</v>
      </c>
    </row>
    <row r="173" spans="1:25" x14ac:dyDescent="0.2">
      <c r="B173" t="s">
        <v>23</v>
      </c>
      <c r="C173" t="s">
        <v>203</v>
      </c>
      <c r="D173" t="s">
        <v>129</v>
      </c>
      <c r="E173" t="s">
        <v>753</v>
      </c>
      <c r="F173" s="10">
        <v>46112</v>
      </c>
      <c r="G173" s="10">
        <v>46203</v>
      </c>
      <c r="H173" s="3" t="s">
        <v>137</v>
      </c>
      <c r="I173" t="s">
        <v>56</v>
      </c>
      <c r="J173" s="2" t="s">
        <v>229</v>
      </c>
      <c r="K173" t="s">
        <v>947</v>
      </c>
      <c r="L173" s="31">
        <v>3.0333333333333332</v>
      </c>
      <c r="M173" t="s">
        <v>57</v>
      </c>
      <c r="N173" t="s">
        <v>230</v>
      </c>
      <c r="O173" s="12">
        <v>770953.69</v>
      </c>
      <c r="P173" s="12" t="s">
        <v>951</v>
      </c>
      <c r="Q173" s="28">
        <v>0</v>
      </c>
      <c r="R173" s="11" t="s">
        <v>95</v>
      </c>
      <c r="S173" s="11" t="s">
        <v>95</v>
      </c>
      <c r="T173" s="12" t="s">
        <v>95</v>
      </c>
      <c r="U173" s="12" t="s">
        <v>95</v>
      </c>
      <c r="V173" s="12" t="s">
        <v>95</v>
      </c>
      <c r="W173" s="21" t="s">
        <v>95</v>
      </c>
      <c r="X173" s="21">
        <v>0.27608748713747122</v>
      </c>
      <c r="Y173" t="s">
        <v>313</v>
      </c>
    </row>
    <row r="174" spans="1:25" x14ac:dyDescent="0.2">
      <c r="A174" s="33" t="s">
        <v>218</v>
      </c>
      <c r="B174" s="33" t="s">
        <v>210</v>
      </c>
      <c r="C174" s="33" t="s">
        <v>203</v>
      </c>
      <c r="D174" s="33" t="s">
        <v>211</v>
      </c>
      <c r="E174" t="s">
        <v>754</v>
      </c>
      <c r="F174" s="10">
        <v>45901</v>
      </c>
      <c r="G174" s="10">
        <v>46053</v>
      </c>
      <c r="H174" s="3" t="s">
        <v>139</v>
      </c>
      <c r="I174" t="s">
        <v>28</v>
      </c>
      <c r="J174" s="2" t="s">
        <v>30</v>
      </c>
      <c r="K174" t="s">
        <v>948</v>
      </c>
      <c r="L174" s="37">
        <v>5.0666666666666664</v>
      </c>
      <c r="M174" s="33" t="s">
        <v>57</v>
      </c>
      <c r="N174" s="33" t="s">
        <v>220</v>
      </c>
      <c r="O174" s="12">
        <v>770953.69</v>
      </c>
      <c r="P174" s="38">
        <v>3485280.954429456</v>
      </c>
      <c r="Q174" s="39">
        <v>3.5207397015370097</v>
      </c>
      <c r="R174" s="40">
        <v>57</v>
      </c>
      <c r="S174" s="40">
        <v>261</v>
      </c>
      <c r="T174" s="38">
        <v>3285280.954429456</v>
      </c>
      <c r="U174" s="38">
        <v>14933095</v>
      </c>
      <c r="V174" s="38">
        <v>11647814.045570545</v>
      </c>
      <c r="W174" s="41">
        <v>0.21839080459770116</v>
      </c>
      <c r="X174" s="41">
        <v>0.44084891187851694</v>
      </c>
      <c r="Y174" t="s">
        <v>308</v>
      </c>
    </row>
    <row r="175" spans="1:25" x14ac:dyDescent="0.2">
      <c r="A175" t="s">
        <v>259</v>
      </c>
      <c r="B175" t="s">
        <v>97</v>
      </c>
      <c r="C175" t="s">
        <v>203</v>
      </c>
      <c r="D175" t="s">
        <v>129</v>
      </c>
      <c r="E175" t="s">
        <v>755</v>
      </c>
      <c r="F175" s="19">
        <v>46113</v>
      </c>
      <c r="G175" s="19">
        <v>46203</v>
      </c>
      <c r="H175" s="3" t="s">
        <v>137</v>
      </c>
      <c r="I175" t="s">
        <v>56</v>
      </c>
      <c r="K175" t="s">
        <v>947</v>
      </c>
      <c r="M175" t="s">
        <v>49</v>
      </c>
      <c r="N175" t="s">
        <v>250</v>
      </c>
      <c r="O175" s="12">
        <v>770953.85</v>
      </c>
      <c r="P175" s="12">
        <v>162314.86792095931</v>
      </c>
      <c r="Q175" s="20">
        <v>-0.78946227725439178</v>
      </c>
      <c r="R175" s="11" t="s">
        <v>95</v>
      </c>
      <c r="S175" s="11">
        <v>0</v>
      </c>
      <c r="T175" s="12">
        <v>0</v>
      </c>
      <c r="U175" s="12">
        <v>0</v>
      </c>
      <c r="V175" s="12">
        <v>0</v>
      </c>
      <c r="W175" s="21" t="s">
        <v>95</v>
      </c>
      <c r="X175" s="21">
        <v>0.27608748713747122</v>
      </c>
      <c r="Y175" t="s">
        <v>95</v>
      </c>
    </row>
    <row r="176" spans="1:25" x14ac:dyDescent="0.2">
      <c r="B176" t="s">
        <v>97</v>
      </c>
      <c r="C176" t="s">
        <v>609</v>
      </c>
      <c r="D176" t="s">
        <v>609</v>
      </c>
      <c r="E176" t="s">
        <v>780</v>
      </c>
      <c r="F176" s="10">
        <v>46023</v>
      </c>
      <c r="G176" s="10">
        <v>46174</v>
      </c>
      <c r="H176" s="3" t="s">
        <v>139</v>
      </c>
      <c r="I176" t="s">
        <v>56</v>
      </c>
      <c r="J176" s="2">
        <v>1</v>
      </c>
      <c r="K176" t="s">
        <v>947</v>
      </c>
      <c r="L176" s="31">
        <v>5.0333333333333332</v>
      </c>
      <c r="M176" s="15" t="s">
        <v>57</v>
      </c>
      <c r="O176" s="12">
        <v>770953.69</v>
      </c>
      <c r="P176" s="12" t="s">
        <v>951</v>
      </c>
      <c r="Q176" s="20" t="s">
        <v>95</v>
      </c>
      <c r="R176" s="11" t="s">
        <v>95</v>
      </c>
      <c r="S176" s="11" t="s">
        <v>95</v>
      </c>
      <c r="T176" s="12" t="s">
        <v>95</v>
      </c>
      <c r="U176" s="12" t="s">
        <v>95</v>
      </c>
      <c r="V176" s="12" t="s">
        <v>95</v>
      </c>
      <c r="W176" s="21" t="s">
        <v>95</v>
      </c>
      <c r="X176" s="21">
        <v>0.44084891187851694</v>
      </c>
      <c r="Y176" t="s">
        <v>330</v>
      </c>
    </row>
    <row r="177" spans="1:25" x14ac:dyDescent="0.2">
      <c r="A177" t="s">
        <v>616</v>
      </c>
      <c r="B177" t="s">
        <v>97</v>
      </c>
      <c r="C177" t="s">
        <v>609</v>
      </c>
      <c r="D177" t="s">
        <v>609</v>
      </c>
      <c r="E177" t="s">
        <v>781</v>
      </c>
      <c r="F177" s="10" t="s">
        <v>179</v>
      </c>
      <c r="G177" s="10" t="s">
        <v>179</v>
      </c>
      <c r="H177" s="3" t="s">
        <v>190</v>
      </c>
      <c r="I177" t="s">
        <v>56</v>
      </c>
      <c r="K177" t="s">
        <v>947</v>
      </c>
      <c r="M177" t="s">
        <v>61</v>
      </c>
      <c r="O177" s="12">
        <v>1156430.54</v>
      </c>
      <c r="P177" s="12" t="s">
        <v>951</v>
      </c>
      <c r="Q177" s="20" t="s">
        <v>95</v>
      </c>
      <c r="R177" s="11" t="s">
        <v>95</v>
      </c>
      <c r="S177" s="11" t="s">
        <v>95</v>
      </c>
      <c r="T177" s="12" t="s">
        <v>95</v>
      </c>
      <c r="U177" s="12" t="s">
        <v>95</v>
      </c>
      <c r="V177" s="12" t="s">
        <v>95</v>
      </c>
      <c r="W177" s="21" t="s">
        <v>95</v>
      </c>
      <c r="X177" s="21">
        <v>0.38186224316729489</v>
      </c>
      <c r="Y177" t="s">
        <v>95</v>
      </c>
    </row>
    <row r="178" spans="1:25" x14ac:dyDescent="0.2">
      <c r="A178" t="s">
        <v>306</v>
      </c>
      <c r="B178" t="s">
        <v>23</v>
      </c>
      <c r="C178" t="s">
        <v>280</v>
      </c>
      <c r="D178" t="s">
        <v>295</v>
      </c>
      <c r="E178" t="s">
        <v>784</v>
      </c>
      <c r="F178" s="42">
        <v>45992</v>
      </c>
      <c r="G178" s="42">
        <v>46022</v>
      </c>
      <c r="H178" s="3" t="s">
        <v>100</v>
      </c>
      <c r="I178" t="s">
        <v>56</v>
      </c>
      <c r="J178" s="2">
        <v>1</v>
      </c>
      <c r="K178" t="s">
        <v>947</v>
      </c>
      <c r="L178" s="31">
        <v>1</v>
      </c>
      <c r="N178" t="s">
        <v>308</v>
      </c>
      <c r="O178" s="12">
        <v>298482.75</v>
      </c>
      <c r="P178" s="12">
        <v>757956.66675355949</v>
      </c>
      <c r="Q178" s="13">
        <v>1.5393650613094374</v>
      </c>
      <c r="R178" s="11">
        <v>13</v>
      </c>
      <c r="S178" s="11">
        <v>87</v>
      </c>
      <c r="T178" s="12">
        <v>533592.45470845816</v>
      </c>
      <c r="U178" s="12">
        <v>3510477</v>
      </c>
      <c r="V178" s="12">
        <v>2976884.5452915421</v>
      </c>
      <c r="W178" s="21">
        <v>0.14942528735632185</v>
      </c>
      <c r="X178" s="21">
        <v>0.22734625458354665</v>
      </c>
      <c r="Y178" t="s">
        <v>95</v>
      </c>
    </row>
    <row r="179" spans="1:25" x14ac:dyDescent="0.2">
      <c r="A179" t="s">
        <v>306</v>
      </c>
      <c r="B179" t="s">
        <v>23</v>
      </c>
      <c r="C179" t="s">
        <v>280</v>
      </c>
      <c r="D179" t="s">
        <v>295</v>
      </c>
      <c r="E179" t="s">
        <v>785</v>
      </c>
      <c r="F179" s="42">
        <v>45992</v>
      </c>
      <c r="G179" s="42">
        <v>46037</v>
      </c>
      <c r="H179" s="3" t="s">
        <v>100</v>
      </c>
      <c r="I179" t="s">
        <v>56</v>
      </c>
      <c r="J179" s="2">
        <v>2</v>
      </c>
      <c r="K179" t="s">
        <v>947</v>
      </c>
      <c r="L179" s="31">
        <v>1.5</v>
      </c>
      <c r="N179" t="s">
        <v>308</v>
      </c>
      <c r="O179" s="12">
        <v>298482.75</v>
      </c>
      <c r="P179" s="12">
        <v>757956.66675355949</v>
      </c>
      <c r="Q179" s="13">
        <v>1.5393650613094374</v>
      </c>
      <c r="R179" s="11">
        <v>13</v>
      </c>
      <c r="S179" s="11">
        <v>87</v>
      </c>
      <c r="T179" s="12">
        <v>533592.45470845816</v>
      </c>
      <c r="U179" s="12">
        <v>3510477</v>
      </c>
      <c r="V179" s="12">
        <v>2976884.5452915421</v>
      </c>
      <c r="W179" s="21">
        <v>0.14942528735632185</v>
      </c>
      <c r="X179" s="21">
        <v>0.22734625458354665</v>
      </c>
      <c r="Y179" t="s">
        <v>95</v>
      </c>
    </row>
    <row r="180" spans="1:25" x14ac:dyDescent="0.2">
      <c r="A180" t="s">
        <v>309</v>
      </c>
      <c r="B180" t="s">
        <v>23</v>
      </c>
      <c r="C180" t="s">
        <v>280</v>
      </c>
      <c r="D180" t="s">
        <v>295</v>
      </c>
      <c r="E180" t="s">
        <v>786</v>
      </c>
      <c r="F180" s="42">
        <v>46037</v>
      </c>
      <c r="G180" s="42">
        <v>46142</v>
      </c>
      <c r="H180" s="3" t="s">
        <v>139</v>
      </c>
      <c r="I180" t="s">
        <v>56</v>
      </c>
      <c r="J180" s="2">
        <v>3</v>
      </c>
      <c r="K180" t="s">
        <v>947</v>
      </c>
      <c r="L180" s="31">
        <v>3.5</v>
      </c>
      <c r="N180" t="s">
        <v>308</v>
      </c>
      <c r="O180" s="12">
        <v>0</v>
      </c>
      <c r="P180" s="12">
        <v>2282663.5827759639</v>
      </c>
      <c r="Q180" s="20" t="s">
        <v>95</v>
      </c>
      <c r="R180" s="11">
        <v>40</v>
      </c>
      <c r="S180" s="11">
        <v>3469</v>
      </c>
      <c r="T180" s="12">
        <v>2282663.5827759639</v>
      </c>
      <c r="U180" s="12">
        <v>198492485</v>
      </c>
      <c r="V180" s="12">
        <v>196209821.41722405</v>
      </c>
      <c r="W180" s="13">
        <v>1.1530700490054771E-2</v>
      </c>
      <c r="X180" s="23">
        <v>0.44084891187851694</v>
      </c>
      <c r="Y180" t="s">
        <v>95</v>
      </c>
    </row>
    <row r="181" spans="1:25" x14ac:dyDescent="0.2">
      <c r="A181" t="s">
        <v>301</v>
      </c>
      <c r="B181" t="s">
        <v>23</v>
      </c>
      <c r="C181" t="s">
        <v>280</v>
      </c>
      <c r="D181" t="s">
        <v>295</v>
      </c>
      <c r="E181" t="s">
        <v>787</v>
      </c>
      <c r="F181" s="10">
        <v>46113</v>
      </c>
      <c r="G181" s="10">
        <v>46387</v>
      </c>
      <c r="H181" s="3" t="s">
        <v>196</v>
      </c>
      <c r="I181" t="s">
        <v>56</v>
      </c>
      <c r="J181" s="2">
        <v>4</v>
      </c>
      <c r="K181" t="s">
        <v>947</v>
      </c>
      <c r="L181" s="31">
        <v>9.1333333333333329</v>
      </c>
      <c r="M181" t="s">
        <v>61</v>
      </c>
      <c r="N181" t="s">
        <v>303</v>
      </c>
      <c r="O181" s="12">
        <v>1156430.54</v>
      </c>
      <c r="P181" s="12">
        <v>2920055.2175491131</v>
      </c>
      <c r="Q181" s="20">
        <v>1.5250588916037386</v>
      </c>
      <c r="R181" s="11">
        <v>8</v>
      </c>
      <c r="S181" s="11">
        <v>15</v>
      </c>
      <c r="T181" s="12">
        <v>420055.21754911315</v>
      </c>
      <c r="U181" s="12">
        <v>840110</v>
      </c>
      <c r="V181" s="12">
        <v>420054.78245088685</v>
      </c>
      <c r="W181" s="21">
        <v>0.53333333333333333</v>
      </c>
      <c r="X181" s="21">
        <v>9.1212263676270597E-2</v>
      </c>
      <c r="Y181" t="s">
        <v>95</v>
      </c>
    </row>
    <row r="182" spans="1:25" x14ac:dyDescent="0.2">
      <c r="A182" t="s">
        <v>294</v>
      </c>
      <c r="B182" t="s">
        <v>23</v>
      </c>
      <c r="C182" t="s">
        <v>280</v>
      </c>
      <c r="D182" t="s">
        <v>295</v>
      </c>
      <c r="E182" t="s">
        <v>788</v>
      </c>
      <c r="F182" s="10">
        <v>46388</v>
      </c>
      <c r="G182" s="10">
        <v>46660</v>
      </c>
      <c r="H182" s="3" t="s">
        <v>282</v>
      </c>
      <c r="I182" t="s">
        <v>56</v>
      </c>
      <c r="J182" s="2">
        <v>5</v>
      </c>
      <c r="K182" t="s">
        <v>947</v>
      </c>
      <c r="L182" s="31">
        <v>9.0666666666666664</v>
      </c>
      <c r="M182" t="s">
        <v>61</v>
      </c>
      <c r="N182" t="s">
        <v>297</v>
      </c>
      <c r="O182" s="12">
        <v>1156430.54</v>
      </c>
      <c r="P182" s="12">
        <v>2524565.6579771559</v>
      </c>
      <c r="Q182" s="20">
        <v>1.1830672666057018</v>
      </c>
      <c r="R182" s="11">
        <v>47</v>
      </c>
      <c r="S182" s="11">
        <v>791</v>
      </c>
      <c r="T182" s="12">
        <v>2524565.6579771559</v>
      </c>
      <c r="U182" s="12">
        <v>42076094</v>
      </c>
      <c r="V182" s="12">
        <v>39551528.342022844</v>
      </c>
      <c r="W182" s="21">
        <v>5.9418457648546141E-2</v>
      </c>
      <c r="X182" s="21">
        <v>6.6984216543474348E-2</v>
      </c>
      <c r="Y182" t="s">
        <v>95</v>
      </c>
    </row>
    <row r="183" spans="1:25" x14ac:dyDescent="0.2">
      <c r="A183" t="s">
        <v>294</v>
      </c>
      <c r="B183" t="s">
        <v>23</v>
      </c>
      <c r="C183" t="s">
        <v>280</v>
      </c>
      <c r="D183" t="s">
        <v>295</v>
      </c>
      <c r="E183" t="s">
        <v>789</v>
      </c>
      <c r="F183" s="10">
        <v>46388</v>
      </c>
      <c r="G183" s="10">
        <v>46660</v>
      </c>
      <c r="H183" s="3" t="s">
        <v>282</v>
      </c>
      <c r="I183" t="s">
        <v>56</v>
      </c>
      <c r="J183" s="2">
        <v>6</v>
      </c>
      <c r="K183" t="s">
        <v>947</v>
      </c>
      <c r="L183" s="31">
        <v>9.0666666666666664</v>
      </c>
      <c r="M183" t="s">
        <v>61</v>
      </c>
      <c r="N183" t="s">
        <v>299</v>
      </c>
      <c r="O183" s="12">
        <v>1156430.54</v>
      </c>
      <c r="P183" s="12">
        <v>2524565.6579771559</v>
      </c>
      <c r="Q183" s="20">
        <v>1.1830672666057018</v>
      </c>
      <c r="R183" s="11">
        <v>47</v>
      </c>
      <c r="S183" s="11">
        <v>791</v>
      </c>
      <c r="T183" s="12">
        <v>2524565.6579771559</v>
      </c>
      <c r="U183" s="12">
        <v>42076094</v>
      </c>
      <c r="V183" s="12">
        <v>39551528.342022844</v>
      </c>
      <c r="W183" s="21">
        <v>5.9418457648546141E-2</v>
      </c>
      <c r="X183" s="21">
        <v>6.6984216543474348E-2</v>
      </c>
      <c r="Y183" t="s">
        <v>95</v>
      </c>
    </row>
    <row r="184" spans="1:25" x14ac:dyDescent="0.2">
      <c r="A184" t="s">
        <v>294</v>
      </c>
      <c r="B184" t="s">
        <v>23</v>
      </c>
      <c r="C184" t="s">
        <v>280</v>
      </c>
      <c r="D184" t="s">
        <v>295</v>
      </c>
      <c r="E184" t="s">
        <v>790</v>
      </c>
      <c r="F184" s="10">
        <v>46539</v>
      </c>
      <c r="G184" s="10">
        <v>46812</v>
      </c>
      <c r="H184" s="3" t="s">
        <v>282</v>
      </c>
      <c r="I184" t="s">
        <v>56</v>
      </c>
      <c r="J184" s="2">
        <v>7</v>
      </c>
      <c r="K184" t="s">
        <v>947</v>
      </c>
      <c r="L184" s="31">
        <v>9.1</v>
      </c>
      <c r="M184" t="s">
        <v>61</v>
      </c>
      <c r="O184" s="12">
        <v>1156430.54</v>
      </c>
      <c r="P184" s="12">
        <v>2524565.6579771559</v>
      </c>
      <c r="Q184" s="20">
        <v>1.1830672666057018</v>
      </c>
      <c r="R184" s="11">
        <v>47</v>
      </c>
      <c r="S184" s="11">
        <v>791</v>
      </c>
      <c r="T184" s="12">
        <v>2524565.6579771559</v>
      </c>
      <c r="U184" s="12">
        <v>42076094</v>
      </c>
      <c r="V184" s="12">
        <v>39551528.342022844</v>
      </c>
      <c r="W184" s="21">
        <v>5.9418457648546141E-2</v>
      </c>
      <c r="X184" s="21">
        <v>6.6984216543474348E-2</v>
      </c>
      <c r="Y184" t="s">
        <v>332</v>
      </c>
    </row>
    <row r="185" spans="1:25" x14ac:dyDescent="0.2">
      <c r="A185" t="s">
        <v>292</v>
      </c>
      <c r="B185" t="s">
        <v>23</v>
      </c>
      <c r="C185" t="s">
        <v>280</v>
      </c>
      <c r="D185" t="s">
        <v>293</v>
      </c>
      <c r="E185" t="s">
        <v>791</v>
      </c>
      <c r="F185" s="44"/>
      <c r="G185" s="42"/>
      <c r="I185" t="s">
        <v>56</v>
      </c>
      <c r="K185" t="s">
        <v>947</v>
      </c>
      <c r="O185" s="12">
        <v>0</v>
      </c>
      <c r="P185" s="12" t="s">
        <v>951</v>
      </c>
      <c r="Q185" s="13" t="s">
        <v>95</v>
      </c>
      <c r="R185" s="11" t="s">
        <v>95</v>
      </c>
      <c r="S185" s="11" t="s">
        <v>95</v>
      </c>
      <c r="T185" s="12" t="s">
        <v>95</v>
      </c>
      <c r="U185" s="12" t="s">
        <v>95</v>
      </c>
      <c r="V185" s="12" t="s">
        <v>95</v>
      </c>
      <c r="W185" s="21" t="s">
        <v>95</v>
      </c>
      <c r="X185" s="21">
        <v>0</v>
      </c>
      <c r="Y185" t="s">
        <v>95</v>
      </c>
    </row>
    <row r="186" spans="1:25" x14ac:dyDescent="0.2">
      <c r="A186" t="s">
        <v>333</v>
      </c>
      <c r="B186" t="s">
        <v>23</v>
      </c>
      <c r="C186" t="s">
        <v>175</v>
      </c>
      <c r="D186" t="s">
        <v>326</v>
      </c>
      <c r="E186" t="s">
        <v>881</v>
      </c>
      <c r="F186" s="10">
        <v>45938</v>
      </c>
      <c r="G186" s="10">
        <v>46008</v>
      </c>
      <c r="H186" s="3" t="s">
        <v>139</v>
      </c>
      <c r="I186" t="s">
        <v>56</v>
      </c>
      <c r="J186" s="2">
        <v>1</v>
      </c>
      <c r="K186" t="s">
        <v>947</v>
      </c>
      <c r="L186" s="31">
        <v>2.3333333333333335</v>
      </c>
      <c r="M186" t="s">
        <v>57</v>
      </c>
      <c r="O186" s="12">
        <v>1179602.1515384614</v>
      </c>
      <c r="P186" s="12">
        <v>1923076.923076923</v>
      </c>
      <c r="Q186" s="13">
        <v>0.63027586934188484</v>
      </c>
      <c r="R186" s="11">
        <v>25</v>
      </c>
      <c r="S186" s="11">
        <v>100</v>
      </c>
      <c r="T186" s="12">
        <v>1435874.5430198673</v>
      </c>
      <c r="U186" s="12">
        <v>5743498</v>
      </c>
      <c r="V186" s="12">
        <v>4307623.4569801325</v>
      </c>
      <c r="W186" s="13">
        <v>0.25</v>
      </c>
      <c r="X186" s="23">
        <v>0.44084891187851694</v>
      </c>
      <c r="Y186" t="s">
        <v>321</v>
      </c>
    </row>
    <row r="187" spans="1:25" x14ac:dyDescent="0.2">
      <c r="A187" t="s">
        <v>333</v>
      </c>
      <c r="B187" t="s">
        <v>23</v>
      </c>
      <c r="C187" t="s">
        <v>175</v>
      </c>
      <c r="D187" t="s">
        <v>339</v>
      </c>
      <c r="E187" t="s">
        <v>882</v>
      </c>
      <c r="F187" s="10">
        <v>46113</v>
      </c>
      <c r="G187" s="10">
        <v>46203</v>
      </c>
      <c r="H187" s="3" t="s">
        <v>139</v>
      </c>
      <c r="I187" t="s">
        <v>56</v>
      </c>
      <c r="J187" s="2">
        <v>1</v>
      </c>
      <c r="K187" t="s">
        <v>947</v>
      </c>
      <c r="L187" s="31">
        <v>3</v>
      </c>
      <c r="N187" t="s">
        <v>346</v>
      </c>
      <c r="O187" s="12">
        <v>408648.46153846156</v>
      </c>
      <c r="P187" s="12">
        <v>1923076.923076923</v>
      </c>
      <c r="Q187" s="13">
        <v>3.7059443606786346</v>
      </c>
      <c r="R187" s="11">
        <v>25</v>
      </c>
      <c r="S187" s="11">
        <v>100</v>
      </c>
      <c r="T187" s="12">
        <v>1435874.5430198673</v>
      </c>
      <c r="U187" s="12">
        <v>5743498</v>
      </c>
      <c r="V187" s="12">
        <v>4307623.4569801325</v>
      </c>
      <c r="W187" s="13">
        <v>0.25</v>
      </c>
      <c r="X187" s="23">
        <v>0.44084891187851694</v>
      </c>
      <c r="Y187" t="s">
        <v>322</v>
      </c>
    </row>
    <row r="188" spans="1:25" x14ac:dyDescent="0.2">
      <c r="A188" t="s">
        <v>360</v>
      </c>
      <c r="B188" t="s">
        <v>23</v>
      </c>
      <c r="C188" t="s">
        <v>175</v>
      </c>
      <c r="D188" t="s">
        <v>357</v>
      </c>
      <c r="E188" t="s">
        <v>883</v>
      </c>
      <c r="F188" s="10">
        <v>46023</v>
      </c>
      <c r="G188" s="10">
        <v>46296</v>
      </c>
      <c r="H188" s="3" t="s">
        <v>358</v>
      </c>
      <c r="I188" t="s">
        <v>56</v>
      </c>
      <c r="J188" s="2">
        <v>1</v>
      </c>
      <c r="K188" t="s">
        <v>947</v>
      </c>
      <c r="L188" s="31">
        <v>7.1333333333333337</v>
      </c>
      <c r="M188" t="s">
        <v>61</v>
      </c>
      <c r="N188" t="s">
        <v>361</v>
      </c>
      <c r="O188" s="12">
        <v>2232830.54</v>
      </c>
      <c r="P188" s="12">
        <v>1304070.8</v>
      </c>
      <c r="Q188" s="13">
        <v>-0.4159562149306682</v>
      </c>
      <c r="R188" s="11">
        <v>5</v>
      </c>
      <c r="S188" s="11">
        <v>47</v>
      </c>
      <c r="T188" s="12">
        <v>266850.06895222864</v>
      </c>
      <c r="U188" s="12">
        <v>2668501</v>
      </c>
      <c r="V188" s="12">
        <v>2401650.9310477711</v>
      </c>
      <c r="W188" s="13">
        <v>0.10638297872340426</v>
      </c>
      <c r="X188" s="23">
        <v>0.44195585665372528</v>
      </c>
      <c r="Y188" t="s">
        <v>95</v>
      </c>
    </row>
    <row r="189" spans="1:25" x14ac:dyDescent="0.2">
      <c r="A189" t="s">
        <v>398</v>
      </c>
      <c r="B189" t="s">
        <v>131</v>
      </c>
      <c r="C189" t="s">
        <v>175</v>
      </c>
      <c r="D189" t="s">
        <v>395</v>
      </c>
      <c r="E189" t="s">
        <v>884</v>
      </c>
      <c r="F189" s="50">
        <v>46023</v>
      </c>
      <c r="G189" s="50">
        <v>46203</v>
      </c>
      <c r="H189" s="3" t="s">
        <v>67</v>
      </c>
      <c r="I189" t="s">
        <v>56</v>
      </c>
      <c r="J189" s="2">
        <v>1</v>
      </c>
      <c r="K189" t="s">
        <v>947</v>
      </c>
      <c r="L189" s="31">
        <v>6</v>
      </c>
      <c r="M189" t="s">
        <v>57</v>
      </c>
      <c r="N189" t="s">
        <v>399</v>
      </c>
      <c r="O189" s="12">
        <v>770953.69</v>
      </c>
      <c r="P189" s="12">
        <v>0</v>
      </c>
      <c r="Q189" s="20">
        <v>-1</v>
      </c>
      <c r="R189" s="11" t="s">
        <v>95</v>
      </c>
      <c r="S189" s="11">
        <v>0</v>
      </c>
      <c r="T189" s="12">
        <v>0</v>
      </c>
      <c r="U189" s="12">
        <v>0</v>
      </c>
      <c r="V189" s="12">
        <v>0</v>
      </c>
      <c r="W189" s="21" t="s">
        <v>95</v>
      </c>
      <c r="X189" s="21">
        <v>9.8881276226545273E-2</v>
      </c>
      <c r="Y189" t="s">
        <v>95</v>
      </c>
    </row>
    <row r="190" spans="1:25" x14ac:dyDescent="0.2">
      <c r="A190" t="s">
        <v>445</v>
      </c>
      <c r="B190" t="s">
        <v>23</v>
      </c>
      <c r="C190" t="s">
        <v>175</v>
      </c>
      <c r="D190" t="s">
        <v>71</v>
      </c>
      <c r="E190" t="s">
        <v>885</v>
      </c>
      <c r="F190" s="10">
        <v>45962</v>
      </c>
      <c r="G190" s="10">
        <v>46053</v>
      </c>
      <c r="H190" s="3" t="s">
        <v>144</v>
      </c>
      <c r="I190" t="s">
        <v>56</v>
      </c>
      <c r="J190" s="2">
        <v>1</v>
      </c>
      <c r="K190" t="s">
        <v>947</v>
      </c>
      <c r="L190" s="31">
        <v>3</v>
      </c>
      <c r="M190" t="s">
        <v>49</v>
      </c>
      <c r="N190" t="s">
        <v>447</v>
      </c>
      <c r="O190" s="12">
        <v>385476.85</v>
      </c>
      <c r="P190" s="12">
        <v>2262097.3805406536</v>
      </c>
      <c r="Q190" s="20">
        <v>4.8683092915713448</v>
      </c>
      <c r="R190" s="11">
        <v>28</v>
      </c>
      <c r="S190" s="11">
        <v>37</v>
      </c>
      <c r="T190" s="12">
        <v>2262097.3805406536</v>
      </c>
      <c r="U190" s="12">
        <v>3016130</v>
      </c>
      <c r="V190" s="12">
        <v>754032.6194593464</v>
      </c>
      <c r="W190" s="21">
        <v>0.7567567567567568</v>
      </c>
      <c r="X190" s="21">
        <v>0.54879953085814948</v>
      </c>
      <c r="Y190" t="s">
        <v>95</v>
      </c>
    </row>
    <row r="191" spans="1:25" x14ac:dyDescent="0.2">
      <c r="A191" t="s">
        <v>462</v>
      </c>
      <c r="B191" t="s">
        <v>23</v>
      </c>
      <c r="C191" t="s">
        <v>175</v>
      </c>
      <c r="D191" t="s">
        <v>461</v>
      </c>
      <c r="E191" t="s">
        <v>886</v>
      </c>
      <c r="F191" s="10">
        <v>46023</v>
      </c>
      <c r="G191" s="10">
        <v>46203</v>
      </c>
      <c r="H191" s="3" t="s">
        <v>190</v>
      </c>
      <c r="I191" t="s">
        <v>56</v>
      </c>
      <c r="J191" s="2">
        <v>1</v>
      </c>
      <c r="K191" t="s">
        <v>947</v>
      </c>
      <c r="L191" s="31">
        <v>6</v>
      </c>
      <c r="M191" s="15" t="s">
        <v>57</v>
      </c>
      <c r="O191" s="12">
        <v>770953.69</v>
      </c>
      <c r="P191" s="12">
        <v>12690590.008904161</v>
      </c>
      <c r="Q191" s="20">
        <v>15.460897941748177</v>
      </c>
      <c r="R191" s="11">
        <v>227</v>
      </c>
      <c r="S191" s="11">
        <v>227</v>
      </c>
      <c r="T191" s="12">
        <v>12690590.008904161</v>
      </c>
      <c r="U191" s="12">
        <v>12690590</v>
      </c>
      <c r="V191" s="12">
        <v>-8.9041609317064285E-3</v>
      </c>
      <c r="W191" s="21">
        <v>1</v>
      </c>
      <c r="X191" s="21">
        <v>0.38186224316729489</v>
      </c>
      <c r="Y191" t="s">
        <v>95</v>
      </c>
    </row>
    <row r="192" spans="1:25" x14ac:dyDescent="0.2">
      <c r="A192" t="s">
        <v>475</v>
      </c>
      <c r="B192" t="s">
        <v>23</v>
      </c>
      <c r="C192" t="s">
        <v>175</v>
      </c>
      <c r="D192" t="s">
        <v>476</v>
      </c>
      <c r="E192" t="s">
        <v>887</v>
      </c>
      <c r="F192" s="10">
        <v>46023</v>
      </c>
      <c r="G192" s="10">
        <v>46142</v>
      </c>
      <c r="H192" s="3" t="s">
        <v>176</v>
      </c>
      <c r="I192" t="s">
        <v>56</v>
      </c>
      <c r="J192" s="2">
        <v>1</v>
      </c>
      <c r="K192" t="s">
        <v>947</v>
      </c>
      <c r="L192" s="31">
        <v>3.9666666666666668</v>
      </c>
      <c r="M192" t="s">
        <v>57</v>
      </c>
      <c r="N192" t="s">
        <v>477</v>
      </c>
      <c r="O192" s="12">
        <v>899446.02333333332</v>
      </c>
      <c r="P192" s="12">
        <v>122839.50338542739</v>
      </c>
      <c r="Q192" s="20">
        <v>-0.86342759854539564</v>
      </c>
      <c r="R192" s="11">
        <v>2</v>
      </c>
      <c r="S192" s="11">
        <v>11</v>
      </c>
      <c r="T192" s="12">
        <v>122839.50338542739</v>
      </c>
      <c r="U192" s="12">
        <v>614198</v>
      </c>
      <c r="V192" s="12">
        <v>491358.49661457259</v>
      </c>
      <c r="W192" s="20">
        <v>0.18181818181818182</v>
      </c>
      <c r="X192" s="21" t="s">
        <v>95</v>
      </c>
      <c r="Y192" t="s">
        <v>95</v>
      </c>
    </row>
    <row r="193" spans="1:25" x14ac:dyDescent="0.2">
      <c r="A193" t="s">
        <v>333</v>
      </c>
      <c r="B193" t="s">
        <v>23</v>
      </c>
      <c r="C193" t="s">
        <v>175</v>
      </c>
      <c r="D193" t="s">
        <v>326</v>
      </c>
      <c r="E193" t="s">
        <v>888</v>
      </c>
      <c r="F193" s="10">
        <v>46143</v>
      </c>
      <c r="G193" s="10">
        <v>46112</v>
      </c>
      <c r="H193" s="3" t="s">
        <v>139</v>
      </c>
      <c r="I193" t="s">
        <v>56</v>
      </c>
      <c r="J193" s="2">
        <v>2</v>
      </c>
      <c r="K193" t="s">
        <v>947</v>
      </c>
      <c r="L193" s="31">
        <v>-1.0333333333333334</v>
      </c>
      <c r="M193" t="s">
        <v>57</v>
      </c>
      <c r="O193" s="12">
        <v>1179602.1515384614</v>
      </c>
      <c r="P193" s="12">
        <v>1923076.923076923</v>
      </c>
      <c r="Q193" s="13">
        <v>0.63027586934188484</v>
      </c>
      <c r="R193" s="11">
        <v>25</v>
      </c>
      <c r="S193" s="11">
        <v>100</v>
      </c>
      <c r="T193" s="12">
        <v>1435874.5430198673</v>
      </c>
      <c r="U193" s="12">
        <v>5743498</v>
      </c>
      <c r="V193" s="12">
        <v>4307623.4569801325</v>
      </c>
      <c r="W193" s="13">
        <v>0.25</v>
      </c>
      <c r="X193" s="23">
        <v>0.44084891187851694</v>
      </c>
      <c r="Y193" t="s">
        <v>95</v>
      </c>
    </row>
    <row r="194" spans="1:25" x14ac:dyDescent="0.2">
      <c r="A194" t="s">
        <v>347</v>
      </c>
      <c r="B194" t="s">
        <v>23</v>
      </c>
      <c r="C194" t="s">
        <v>175</v>
      </c>
      <c r="D194" t="s">
        <v>339</v>
      </c>
      <c r="E194" t="s">
        <v>889</v>
      </c>
      <c r="F194" s="19">
        <v>46204</v>
      </c>
      <c r="G194" s="19">
        <v>46387</v>
      </c>
      <c r="H194" s="3" t="s">
        <v>139</v>
      </c>
      <c r="I194" t="s">
        <v>56</v>
      </c>
      <c r="J194" s="2">
        <v>2</v>
      </c>
      <c r="K194" t="s">
        <v>947</v>
      </c>
      <c r="L194" s="32">
        <v>6.1</v>
      </c>
      <c r="M194" s="15" t="s">
        <v>57</v>
      </c>
      <c r="O194" s="12">
        <v>770953.69</v>
      </c>
      <c r="P194" s="12">
        <v>3434611.9069035221</v>
      </c>
      <c r="Q194" s="20">
        <v>3.4550171449383975</v>
      </c>
      <c r="R194" s="11">
        <v>60</v>
      </c>
      <c r="S194" s="11">
        <v>60</v>
      </c>
      <c r="T194" s="12">
        <v>3434611.9069035221</v>
      </c>
      <c r="U194" s="12">
        <v>3434612</v>
      </c>
      <c r="V194" s="12">
        <v>9.3096477910876274E-2</v>
      </c>
      <c r="W194" s="21">
        <v>1</v>
      </c>
      <c r="X194" s="23">
        <v>0.44084891187851694</v>
      </c>
      <c r="Y194" t="s">
        <v>95</v>
      </c>
    </row>
    <row r="195" spans="1:25" x14ac:dyDescent="0.2">
      <c r="A195" t="s">
        <v>369</v>
      </c>
      <c r="B195" t="s">
        <v>23</v>
      </c>
      <c r="C195" t="s">
        <v>175</v>
      </c>
      <c r="D195" t="s">
        <v>357</v>
      </c>
      <c r="E195" t="s">
        <v>890</v>
      </c>
      <c r="F195" s="10">
        <v>46204</v>
      </c>
      <c r="G195" s="10">
        <v>46387</v>
      </c>
      <c r="H195" s="3" t="s">
        <v>358</v>
      </c>
      <c r="I195" t="s">
        <v>56</v>
      </c>
      <c r="J195" s="2">
        <v>2</v>
      </c>
      <c r="K195" t="s">
        <v>947</v>
      </c>
      <c r="L195" s="31">
        <v>6.1</v>
      </c>
      <c r="M195" t="s">
        <v>57</v>
      </c>
      <c r="O195" s="12">
        <v>770953.69</v>
      </c>
      <c r="P195" s="12">
        <v>0</v>
      </c>
      <c r="Q195" s="13">
        <v>-1</v>
      </c>
      <c r="R195" s="11">
        <v>0</v>
      </c>
      <c r="S195" s="11">
        <v>23</v>
      </c>
      <c r="T195" s="12">
        <v>0</v>
      </c>
      <c r="U195" s="12">
        <v>1334250</v>
      </c>
      <c r="V195" s="12">
        <v>1334250</v>
      </c>
      <c r="W195" s="13">
        <v>0</v>
      </c>
      <c r="X195" s="23">
        <v>0.44195585665372528</v>
      </c>
      <c r="Y195" t="s">
        <v>95</v>
      </c>
    </row>
    <row r="196" spans="1:25" x14ac:dyDescent="0.2">
      <c r="B196" t="s">
        <v>23</v>
      </c>
      <c r="C196" t="s">
        <v>175</v>
      </c>
      <c r="D196" t="s">
        <v>149</v>
      </c>
      <c r="E196" t="s">
        <v>891</v>
      </c>
      <c r="F196" s="10">
        <v>46023</v>
      </c>
      <c r="G196" s="10">
        <v>46113</v>
      </c>
      <c r="H196" s="3" t="s">
        <v>43</v>
      </c>
      <c r="I196" t="s">
        <v>56</v>
      </c>
      <c r="J196" s="2">
        <v>2</v>
      </c>
      <c r="K196" t="s">
        <v>947</v>
      </c>
      <c r="L196" s="31">
        <v>3</v>
      </c>
      <c r="M196" t="s">
        <v>57</v>
      </c>
      <c r="N196" t="s">
        <v>375</v>
      </c>
      <c r="O196" s="12">
        <v>770953.69</v>
      </c>
      <c r="P196" s="12" t="s">
        <v>951</v>
      </c>
      <c r="Q196" s="20" t="s">
        <v>95</v>
      </c>
      <c r="R196" s="11" t="s">
        <v>95</v>
      </c>
      <c r="S196" s="11" t="s">
        <v>95</v>
      </c>
      <c r="T196" s="12" t="s">
        <v>95</v>
      </c>
      <c r="U196" s="12" t="s">
        <v>95</v>
      </c>
      <c r="V196" s="12" t="s">
        <v>95</v>
      </c>
      <c r="W196" s="21" t="s">
        <v>95</v>
      </c>
      <c r="X196" s="21">
        <v>0.34650362996126405</v>
      </c>
      <c r="Y196" t="s">
        <v>95</v>
      </c>
    </row>
    <row r="197" spans="1:25" x14ac:dyDescent="0.2">
      <c r="B197" t="s">
        <v>131</v>
      </c>
      <c r="C197" t="s">
        <v>175</v>
      </c>
      <c r="D197" t="s">
        <v>395</v>
      </c>
      <c r="E197" t="s">
        <v>892</v>
      </c>
      <c r="F197" s="50">
        <v>46023</v>
      </c>
      <c r="G197" s="50">
        <v>46112</v>
      </c>
      <c r="H197" s="3" t="s">
        <v>67</v>
      </c>
      <c r="I197" t="s">
        <v>56</v>
      </c>
      <c r="J197" s="2">
        <v>2</v>
      </c>
      <c r="K197" t="s">
        <v>947</v>
      </c>
      <c r="L197" s="31">
        <v>2.9666666666666668</v>
      </c>
      <c r="M197" t="s">
        <v>49</v>
      </c>
      <c r="N197" t="s">
        <v>401</v>
      </c>
      <c r="O197" s="12">
        <v>385476.85</v>
      </c>
      <c r="P197" s="12" t="s">
        <v>951</v>
      </c>
      <c r="Q197" s="20" t="s">
        <v>95</v>
      </c>
      <c r="R197" s="11" t="s">
        <v>95</v>
      </c>
      <c r="S197" s="11" t="s">
        <v>95</v>
      </c>
      <c r="T197" s="12" t="s">
        <v>95</v>
      </c>
      <c r="U197" s="12" t="s">
        <v>95</v>
      </c>
      <c r="V197" s="12" t="s">
        <v>95</v>
      </c>
      <c r="W197" s="21" t="s">
        <v>95</v>
      </c>
      <c r="X197" s="21">
        <v>9.8881276226545273E-2</v>
      </c>
      <c r="Y197" t="s">
        <v>95</v>
      </c>
    </row>
    <row r="198" spans="1:25" x14ac:dyDescent="0.2">
      <c r="A198" s="33" t="s">
        <v>448</v>
      </c>
      <c r="B198" s="33" t="s">
        <v>210</v>
      </c>
      <c r="C198" s="33" t="s">
        <v>175</v>
      </c>
      <c r="D198" s="33" t="s">
        <v>71</v>
      </c>
      <c r="E198" t="s">
        <v>893</v>
      </c>
      <c r="F198" s="36">
        <v>46023</v>
      </c>
      <c r="G198" s="36">
        <v>46295</v>
      </c>
      <c r="H198" s="34" t="s">
        <v>216</v>
      </c>
      <c r="I198" s="33" t="s">
        <v>56</v>
      </c>
      <c r="J198" s="35">
        <v>2</v>
      </c>
      <c r="K198" t="s">
        <v>947</v>
      </c>
      <c r="L198" s="37">
        <v>9</v>
      </c>
      <c r="M198" s="33" t="s">
        <v>61</v>
      </c>
      <c r="N198" s="33" t="s">
        <v>451</v>
      </c>
      <c r="O198" s="12">
        <v>1156430.54</v>
      </c>
      <c r="P198" s="38">
        <v>5400000</v>
      </c>
      <c r="Q198" s="39">
        <v>3.6695411554938699</v>
      </c>
      <c r="R198" s="40" t="s">
        <v>95</v>
      </c>
      <c r="S198" s="40">
        <v>0</v>
      </c>
      <c r="T198" s="38">
        <v>0</v>
      </c>
      <c r="U198" s="38">
        <v>0</v>
      </c>
      <c r="V198" s="38">
        <v>0</v>
      </c>
      <c r="W198" s="41" t="s">
        <v>95</v>
      </c>
      <c r="X198" s="41">
        <v>0.49613900866607147</v>
      </c>
      <c r="Y198" t="s">
        <v>95</v>
      </c>
    </row>
    <row r="199" spans="1:25" x14ac:dyDescent="0.2">
      <c r="A199" t="s">
        <v>475</v>
      </c>
      <c r="B199" t="s">
        <v>23</v>
      </c>
      <c r="C199" t="s">
        <v>175</v>
      </c>
      <c r="D199" t="s">
        <v>476</v>
      </c>
      <c r="E199" t="s">
        <v>894</v>
      </c>
      <c r="F199" s="10">
        <v>46296</v>
      </c>
      <c r="G199" s="10">
        <v>46418</v>
      </c>
      <c r="H199" s="3" t="s">
        <v>176</v>
      </c>
      <c r="I199" t="s">
        <v>56</v>
      </c>
      <c r="J199" s="2">
        <v>2</v>
      </c>
      <c r="K199" t="s">
        <v>947</v>
      </c>
      <c r="L199" s="31">
        <v>4.0666666666666664</v>
      </c>
      <c r="M199" t="s">
        <v>57</v>
      </c>
      <c r="N199" t="s">
        <v>477</v>
      </c>
      <c r="O199" s="12">
        <v>899446.02333333332</v>
      </c>
      <c r="P199" s="12">
        <v>122839.50338542739</v>
      </c>
      <c r="Q199" s="20">
        <v>-0.86342759854539564</v>
      </c>
      <c r="R199" s="11">
        <v>2</v>
      </c>
      <c r="S199" s="11">
        <v>11</v>
      </c>
      <c r="T199" s="12">
        <v>122839.50338542739</v>
      </c>
      <c r="U199" s="12">
        <v>614198</v>
      </c>
      <c r="V199" s="12">
        <v>491358.49661457259</v>
      </c>
      <c r="W199" s="20">
        <v>0.18181818181818182</v>
      </c>
      <c r="X199" s="21" t="s">
        <v>95</v>
      </c>
      <c r="Y199" t="s">
        <v>95</v>
      </c>
    </row>
    <row r="200" spans="1:25" x14ac:dyDescent="0.2">
      <c r="B200" t="s">
        <v>23</v>
      </c>
      <c r="C200" t="s">
        <v>175</v>
      </c>
      <c r="D200" t="s">
        <v>326</v>
      </c>
      <c r="E200" t="s">
        <v>895</v>
      </c>
      <c r="F200" s="10">
        <v>46296</v>
      </c>
      <c r="G200" s="10">
        <v>46203</v>
      </c>
      <c r="H200" s="3" t="s">
        <v>139</v>
      </c>
      <c r="I200" t="s">
        <v>56</v>
      </c>
      <c r="J200" s="2">
        <v>3</v>
      </c>
      <c r="K200" t="s">
        <v>947</v>
      </c>
      <c r="L200" s="31">
        <v>-3.1</v>
      </c>
      <c r="M200" t="s">
        <v>61</v>
      </c>
      <c r="O200" s="12">
        <v>1156430.54</v>
      </c>
      <c r="P200" s="12" t="s">
        <v>951</v>
      </c>
      <c r="Q200" s="13" t="s">
        <v>95</v>
      </c>
      <c r="R200" s="11" t="s">
        <v>95</v>
      </c>
      <c r="S200" s="11" t="s">
        <v>95</v>
      </c>
      <c r="T200" s="12" t="s">
        <v>95</v>
      </c>
      <c r="U200" s="12" t="s">
        <v>95</v>
      </c>
      <c r="V200" s="12" t="s">
        <v>95</v>
      </c>
      <c r="W200" s="13" t="s">
        <v>95</v>
      </c>
      <c r="X200" s="23">
        <v>0.44084891187851694</v>
      </c>
      <c r="Y200" t="s">
        <v>95</v>
      </c>
    </row>
    <row r="201" spans="1:25" x14ac:dyDescent="0.2">
      <c r="A201" t="s">
        <v>333</v>
      </c>
      <c r="B201" t="s">
        <v>23</v>
      </c>
      <c r="C201" t="s">
        <v>175</v>
      </c>
      <c r="D201" t="s">
        <v>339</v>
      </c>
      <c r="E201" t="s">
        <v>896</v>
      </c>
      <c r="F201" s="10">
        <v>46204</v>
      </c>
      <c r="G201" s="10">
        <v>46752</v>
      </c>
      <c r="H201" s="3" t="s">
        <v>139</v>
      </c>
      <c r="I201" t="s">
        <v>56</v>
      </c>
      <c r="J201" s="2">
        <v>3</v>
      </c>
      <c r="K201" t="s">
        <v>947</v>
      </c>
      <c r="L201" s="31">
        <v>7.0666666666666664</v>
      </c>
      <c r="N201" t="s">
        <v>350</v>
      </c>
      <c r="O201" s="12">
        <v>408648.46153846156</v>
      </c>
      <c r="P201" s="12">
        <v>1923076.923076923</v>
      </c>
      <c r="Q201" s="13">
        <v>3.7059443606786346</v>
      </c>
      <c r="R201" s="11">
        <v>25</v>
      </c>
      <c r="S201" s="11">
        <v>100</v>
      </c>
      <c r="T201" s="12">
        <v>1435874.5430198673</v>
      </c>
      <c r="U201" s="12">
        <v>5743498</v>
      </c>
      <c r="V201" s="12">
        <v>4307623.4569801325</v>
      </c>
      <c r="W201" s="13">
        <v>0.25</v>
      </c>
      <c r="X201" s="23">
        <v>0.44084891187851694</v>
      </c>
      <c r="Y201" t="s">
        <v>95</v>
      </c>
    </row>
    <row r="202" spans="1:25" x14ac:dyDescent="0.2">
      <c r="B202" t="s">
        <v>23</v>
      </c>
      <c r="C202" t="s">
        <v>175</v>
      </c>
      <c r="D202" t="s">
        <v>149</v>
      </c>
      <c r="E202" t="s">
        <v>897</v>
      </c>
      <c r="F202" s="42">
        <v>46023</v>
      </c>
      <c r="G202" s="42">
        <v>46204</v>
      </c>
      <c r="H202" s="3" t="s">
        <v>43</v>
      </c>
      <c r="I202" t="s">
        <v>56</v>
      </c>
      <c r="J202" s="2">
        <v>3</v>
      </c>
      <c r="K202" t="s">
        <v>947</v>
      </c>
      <c r="L202" s="31">
        <v>6.0333333333333332</v>
      </c>
      <c r="M202" t="s">
        <v>61</v>
      </c>
      <c r="N202" t="s">
        <v>376</v>
      </c>
      <c r="O202" s="12">
        <v>1156430.54</v>
      </c>
      <c r="P202" s="12" t="s">
        <v>951</v>
      </c>
      <c r="Q202" s="20" t="s">
        <v>95</v>
      </c>
      <c r="R202" s="11" t="s">
        <v>95</v>
      </c>
      <c r="S202" s="11" t="s">
        <v>95</v>
      </c>
      <c r="T202" s="12" t="s">
        <v>95</v>
      </c>
      <c r="U202" s="12" t="s">
        <v>95</v>
      </c>
      <c r="V202" s="12" t="s">
        <v>95</v>
      </c>
      <c r="W202" s="21" t="s">
        <v>95</v>
      </c>
      <c r="X202" s="21">
        <v>0.34650362996126405</v>
      </c>
      <c r="Y202" t="s">
        <v>95</v>
      </c>
    </row>
    <row r="203" spans="1:25" x14ac:dyDescent="0.2">
      <c r="B203" t="s">
        <v>131</v>
      </c>
      <c r="C203" t="s">
        <v>175</v>
      </c>
      <c r="D203" t="s">
        <v>395</v>
      </c>
      <c r="E203" t="s">
        <v>898</v>
      </c>
      <c r="F203" s="10">
        <v>46113</v>
      </c>
      <c r="G203" s="10">
        <v>46295</v>
      </c>
      <c r="H203" s="3" t="s">
        <v>67</v>
      </c>
      <c r="I203" t="s">
        <v>56</v>
      </c>
      <c r="J203" s="2">
        <v>3</v>
      </c>
      <c r="K203" t="s">
        <v>947</v>
      </c>
      <c r="L203" s="31">
        <v>6</v>
      </c>
      <c r="M203" t="s">
        <v>57</v>
      </c>
      <c r="N203" t="s">
        <v>403</v>
      </c>
      <c r="O203" s="12">
        <v>770953.69</v>
      </c>
      <c r="P203" s="12" t="s">
        <v>951</v>
      </c>
      <c r="Q203" s="20" t="s">
        <v>95</v>
      </c>
      <c r="R203" s="11" t="s">
        <v>95</v>
      </c>
      <c r="S203" s="11" t="s">
        <v>95</v>
      </c>
      <c r="T203" s="12" t="s">
        <v>95</v>
      </c>
      <c r="U203" s="12" t="s">
        <v>95</v>
      </c>
      <c r="V203" s="12" t="s">
        <v>95</v>
      </c>
      <c r="W203" s="21" t="s">
        <v>95</v>
      </c>
      <c r="X203" s="21">
        <v>9.8881276226545273E-2</v>
      </c>
      <c r="Y203" t="s">
        <v>95</v>
      </c>
    </row>
    <row r="204" spans="1:25" x14ac:dyDescent="0.2">
      <c r="B204" t="s">
        <v>97</v>
      </c>
      <c r="C204" t="s">
        <v>175</v>
      </c>
      <c r="D204" t="s">
        <v>71</v>
      </c>
      <c r="E204" t="s">
        <v>899</v>
      </c>
      <c r="F204" s="10">
        <v>46054</v>
      </c>
      <c r="G204" s="10">
        <v>46326</v>
      </c>
      <c r="H204" s="3" t="s">
        <v>450</v>
      </c>
      <c r="I204" t="s">
        <v>56</v>
      </c>
      <c r="J204" s="2">
        <v>3</v>
      </c>
      <c r="K204" t="s">
        <v>947</v>
      </c>
      <c r="L204" s="31">
        <v>9</v>
      </c>
      <c r="M204" t="s">
        <v>61</v>
      </c>
      <c r="N204" t="s">
        <v>452</v>
      </c>
      <c r="O204" s="12">
        <v>1156430.54</v>
      </c>
      <c r="P204" s="12" t="s">
        <v>951</v>
      </c>
      <c r="Q204" s="28">
        <v>0</v>
      </c>
      <c r="R204" s="11" t="s">
        <v>95</v>
      </c>
      <c r="S204" s="11" t="s">
        <v>95</v>
      </c>
      <c r="T204" s="12" t="s">
        <v>95</v>
      </c>
      <c r="U204" s="12" t="s">
        <v>95</v>
      </c>
      <c r="V204" s="12" t="s">
        <v>95</v>
      </c>
      <c r="W204" s="21" t="s">
        <v>95</v>
      </c>
      <c r="X204" s="21">
        <v>9.3180817988663137E-2</v>
      </c>
      <c r="Y204" t="s">
        <v>95</v>
      </c>
    </row>
    <row r="205" spans="1:25" x14ac:dyDescent="0.2">
      <c r="B205" t="s">
        <v>23</v>
      </c>
      <c r="C205" t="s">
        <v>175</v>
      </c>
      <c r="D205" t="s">
        <v>326</v>
      </c>
      <c r="E205" t="s">
        <v>900</v>
      </c>
      <c r="F205" s="51">
        <v>46204</v>
      </c>
      <c r="G205" s="51">
        <v>46295</v>
      </c>
      <c r="H205" s="3" t="s">
        <v>139</v>
      </c>
      <c r="I205" t="s">
        <v>56</v>
      </c>
      <c r="J205" s="2">
        <v>4</v>
      </c>
      <c r="K205" t="s">
        <v>947</v>
      </c>
      <c r="L205" s="31">
        <v>3.0333333333333332</v>
      </c>
      <c r="M205" t="s">
        <v>57</v>
      </c>
      <c r="O205" s="12">
        <v>770953.69</v>
      </c>
      <c r="P205" s="14" t="s">
        <v>951</v>
      </c>
      <c r="Q205" s="13" t="s">
        <v>95</v>
      </c>
      <c r="R205" s="11" t="s">
        <v>95</v>
      </c>
      <c r="S205" s="11" t="s">
        <v>95</v>
      </c>
      <c r="T205" s="12" t="s">
        <v>95</v>
      </c>
      <c r="U205" s="12" t="s">
        <v>95</v>
      </c>
      <c r="V205" s="12" t="s">
        <v>95</v>
      </c>
      <c r="W205" s="13" t="s">
        <v>95</v>
      </c>
      <c r="X205" s="23">
        <v>0.44084891187851694</v>
      </c>
      <c r="Y205" t="s">
        <v>95</v>
      </c>
    </row>
    <row r="206" spans="1:25" x14ac:dyDescent="0.2">
      <c r="A206" t="s">
        <v>351</v>
      </c>
      <c r="B206" t="s">
        <v>23</v>
      </c>
      <c r="C206" t="s">
        <v>175</v>
      </c>
      <c r="D206" t="s">
        <v>339</v>
      </c>
      <c r="E206" t="s">
        <v>901</v>
      </c>
      <c r="F206" s="19">
        <v>46388</v>
      </c>
      <c r="G206" s="19">
        <v>46658</v>
      </c>
      <c r="H206" s="3" t="s">
        <v>142</v>
      </c>
      <c r="I206" t="s">
        <v>56</v>
      </c>
      <c r="J206" s="2">
        <v>4</v>
      </c>
      <c r="K206" t="s">
        <v>947</v>
      </c>
      <c r="L206" s="32">
        <v>9</v>
      </c>
      <c r="M206" s="15" t="s">
        <v>61</v>
      </c>
      <c r="O206" s="12">
        <v>1156430.54</v>
      </c>
      <c r="P206" s="12">
        <v>151979.78771527129</v>
      </c>
      <c r="Q206" s="20">
        <v>-0.86857854193709605</v>
      </c>
      <c r="R206" s="11">
        <v>2</v>
      </c>
      <c r="S206" s="11">
        <v>3</v>
      </c>
      <c r="T206" s="12">
        <v>151979.78771527129</v>
      </c>
      <c r="U206" s="12">
        <v>217114</v>
      </c>
      <c r="V206" s="12">
        <v>65134.21228472871</v>
      </c>
      <c r="W206" s="21">
        <v>0.66666666666666663</v>
      </c>
      <c r="X206" s="23">
        <v>0.36658831145909704</v>
      </c>
      <c r="Y206" t="s">
        <v>95</v>
      </c>
    </row>
    <row r="207" spans="1:25" x14ac:dyDescent="0.2">
      <c r="A207" t="s">
        <v>373</v>
      </c>
      <c r="B207" t="s">
        <v>23</v>
      </c>
      <c r="C207" t="s">
        <v>175</v>
      </c>
      <c r="D207" t="s">
        <v>149</v>
      </c>
      <c r="E207" t="s">
        <v>902</v>
      </c>
      <c r="F207" s="10">
        <v>46113</v>
      </c>
      <c r="G207" s="10">
        <v>46266</v>
      </c>
      <c r="H207" s="3" t="s">
        <v>43</v>
      </c>
      <c r="I207" t="s">
        <v>56</v>
      </c>
      <c r="J207" s="2">
        <v>4</v>
      </c>
      <c r="K207" t="s">
        <v>947</v>
      </c>
      <c r="L207" s="31">
        <v>5.0999999999999996</v>
      </c>
      <c r="M207" t="s">
        <v>61</v>
      </c>
      <c r="N207" t="s">
        <v>377</v>
      </c>
      <c r="O207" s="12">
        <v>1156430.54</v>
      </c>
      <c r="P207" s="12" t="s">
        <v>951</v>
      </c>
      <c r="Q207" s="20" t="s">
        <v>95</v>
      </c>
      <c r="R207" s="11" t="s">
        <v>95</v>
      </c>
      <c r="S207" s="11" t="s">
        <v>95</v>
      </c>
      <c r="T207" s="12" t="s">
        <v>95</v>
      </c>
      <c r="U207" s="12" t="s">
        <v>95</v>
      </c>
      <c r="V207" s="12" t="s">
        <v>95</v>
      </c>
      <c r="W207" s="21" t="s">
        <v>95</v>
      </c>
      <c r="X207" s="21">
        <v>0.34650362996126405</v>
      </c>
      <c r="Y207" t="s">
        <v>344</v>
      </c>
    </row>
    <row r="208" spans="1:25" x14ac:dyDescent="0.2">
      <c r="A208" t="s">
        <v>404</v>
      </c>
      <c r="B208" t="s">
        <v>131</v>
      </c>
      <c r="C208" t="s">
        <v>175</v>
      </c>
      <c r="D208" t="s">
        <v>395</v>
      </c>
      <c r="E208" t="s">
        <v>903</v>
      </c>
      <c r="F208" s="10">
        <v>46204</v>
      </c>
      <c r="G208" s="10">
        <v>46568</v>
      </c>
      <c r="H208" s="3" t="s">
        <v>67</v>
      </c>
      <c r="I208" t="s">
        <v>56</v>
      </c>
      <c r="J208" s="2">
        <v>4</v>
      </c>
      <c r="K208" t="s">
        <v>947</v>
      </c>
      <c r="L208" s="31">
        <v>12</v>
      </c>
      <c r="M208" t="s">
        <v>151</v>
      </c>
      <c r="N208" t="s">
        <v>405</v>
      </c>
      <c r="O208" s="12">
        <v>1541907.39</v>
      </c>
      <c r="P208" s="12">
        <v>0</v>
      </c>
      <c r="Q208" s="20">
        <v>-1</v>
      </c>
      <c r="R208" s="11" t="s">
        <v>95</v>
      </c>
      <c r="S208" s="11">
        <v>0</v>
      </c>
      <c r="T208" s="12">
        <v>0</v>
      </c>
      <c r="U208" s="12">
        <v>0</v>
      </c>
      <c r="V208" s="12">
        <v>0</v>
      </c>
      <c r="W208" s="21" t="s">
        <v>95</v>
      </c>
      <c r="X208" s="21">
        <v>9.8881276226545273E-2</v>
      </c>
      <c r="Y208" t="s">
        <v>346</v>
      </c>
    </row>
    <row r="209" spans="1:25" x14ac:dyDescent="0.2">
      <c r="A209" t="s">
        <v>333</v>
      </c>
      <c r="B209" t="s">
        <v>23</v>
      </c>
      <c r="C209" t="s">
        <v>175</v>
      </c>
      <c r="D209" t="s">
        <v>326</v>
      </c>
      <c r="E209" t="s">
        <v>904</v>
      </c>
      <c r="F209" s="51">
        <v>46204</v>
      </c>
      <c r="G209" s="51">
        <v>46295</v>
      </c>
      <c r="H209" s="3" t="s">
        <v>139</v>
      </c>
      <c r="I209" t="s">
        <v>56</v>
      </c>
      <c r="J209" s="2">
        <v>5</v>
      </c>
      <c r="K209" t="s">
        <v>947</v>
      </c>
      <c r="L209" s="31">
        <v>3.0333333333333332</v>
      </c>
      <c r="M209" t="s">
        <v>57</v>
      </c>
      <c r="O209" s="12">
        <v>1179602.1515384614</v>
      </c>
      <c r="P209" s="12">
        <v>1923076.923076923</v>
      </c>
      <c r="Q209" s="13">
        <v>0.63027586934188484</v>
      </c>
      <c r="R209" s="11">
        <v>25</v>
      </c>
      <c r="S209" s="11">
        <v>100</v>
      </c>
      <c r="T209" s="12">
        <v>1435874.5430198673</v>
      </c>
      <c r="U209" s="12">
        <v>5743498</v>
      </c>
      <c r="V209" s="12">
        <v>4307623.4569801325</v>
      </c>
      <c r="W209" s="13">
        <v>0.25</v>
      </c>
      <c r="X209" s="23">
        <v>0.44084891187851694</v>
      </c>
      <c r="Y209" t="s">
        <v>95</v>
      </c>
    </row>
    <row r="210" spans="1:25" x14ac:dyDescent="0.2">
      <c r="A210" t="s">
        <v>354</v>
      </c>
      <c r="B210" t="s">
        <v>23</v>
      </c>
      <c r="C210" t="s">
        <v>175</v>
      </c>
      <c r="D210" t="s">
        <v>339</v>
      </c>
      <c r="E210" t="s">
        <v>905</v>
      </c>
      <c r="F210" s="19">
        <v>46661</v>
      </c>
      <c r="G210" s="19">
        <v>46934</v>
      </c>
      <c r="H210" s="3" t="s">
        <v>142</v>
      </c>
      <c r="I210" t="s">
        <v>56</v>
      </c>
      <c r="J210" s="2">
        <v>5</v>
      </c>
      <c r="K210" t="s">
        <v>947</v>
      </c>
      <c r="L210" s="32">
        <v>9.1</v>
      </c>
      <c r="M210" s="15" t="s">
        <v>61</v>
      </c>
      <c r="O210" s="12">
        <v>1156430.54</v>
      </c>
      <c r="P210" s="12">
        <v>1899747.346440891</v>
      </c>
      <c r="Q210" s="20">
        <v>0.64276822578629844</v>
      </c>
      <c r="R210" s="11">
        <v>28</v>
      </c>
      <c r="S210" s="11">
        <v>56</v>
      </c>
      <c r="T210" s="12">
        <v>1899747.346440891</v>
      </c>
      <c r="U210" s="12">
        <v>3799495</v>
      </c>
      <c r="V210" s="12">
        <v>1899747.653559109</v>
      </c>
      <c r="W210" s="21">
        <v>0.5</v>
      </c>
      <c r="X210" s="23">
        <v>0.36658831145909704</v>
      </c>
      <c r="Y210" t="s">
        <v>350</v>
      </c>
    </row>
    <row r="211" spans="1:25" x14ac:dyDescent="0.2">
      <c r="A211" t="s">
        <v>333</v>
      </c>
      <c r="B211" t="s">
        <v>23</v>
      </c>
      <c r="C211" t="s">
        <v>175</v>
      </c>
      <c r="D211" t="s">
        <v>326</v>
      </c>
      <c r="E211" t="s">
        <v>906</v>
      </c>
      <c r="F211" s="51">
        <v>46296</v>
      </c>
      <c r="G211" s="51">
        <v>46387</v>
      </c>
      <c r="H211" s="3" t="s">
        <v>139</v>
      </c>
      <c r="I211" t="s">
        <v>56</v>
      </c>
      <c r="J211" s="2">
        <v>6</v>
      </c>
      <c r="K211" t="s">
        <v>947</v>
      </c>
      <c r="L211" s="31">
        <v>3.0333333333333332</v>
      </c>
      <c r="M211" t="s">
        <v>57</v>
      </c>
      <c r="O211" s="12">
        <v>1179602.1515384614</v>
      </c>
      <c r="P211" s="12">
        <v>1923076.923076923</v>
      </c>
      <c r="Q211" s="13">
        <v>0.63027586934188484</v>
      </c>
      <c r="R211" s="11">
        <v>25</v>
      </c>
      <c r="S211" s="11">
        <v>100</v>
      </c>
      <c r="T211" s="12">
        <v>1435874.5430198673</v>
      </c>
      <c r="U211" s="12">
        <v>5743498</v>
      </c>
      <c r="V211" s="12">
        <v>4307623.4569801325</v>
      </c>
      <c r="W211" s="13">
        <v>0.25</v>
      </c>
      <c r="X211" s="23">
        <v>0.44084891187851694</v>
      </c>
      <c r="Y211" t="s">
        <v>95</v>
      </c>
    </row>
    <row r="212" spans="1:25" x14ac:dyDescent="0.2">
      <c r="A212" t="s">
        <v>373</v>
      </c>
      <c r="B212" t="s">
        <v>23</v>
      </c>
      <c r="C212" t="s">
        <v>175</v>
      </c>
      <c r="D212" t="s">
        <v>149</v>
      </c>
      <c r="E212" t="s">
        <v>907</v>
      </c>
      <c r="F212" s="10">
        <v>46395</v>
      </c>
      <c r="G212" s="10">
        <v>46477</v>
      </c>
      <c r="H212" s="3" t="s">
        <v>43</v>
      </c>
      <c r="I212" t="s">
        <v>56</v>
      </c>
      <c r="J212" s="2">
        <v>6</v>
      </c>
      <c r="K212" t="s">
        <v>947</v>
      </c>
      <c r="L212" s="31">
        <v>2.7333333333333334</v>
      </c>
      <c r="M212" t="s">
        <v>57</v>
      </c>
      <c r="N212" t="s">
        <v>379</v>
      </c>
      <c r="O212" s="12">
        <v>770953.69</v>
      </c>
      <c r="P212" s="12" t="s">
        <v>951</v>
      </c>
      <c r="Q212" s="20" t="s">
        <v>95</v>
      </c>
      <c r="R212" s="11" t="s">
        <v>95</v>
      </c>
      <c r="S212" s="11" t="s">
        <v>95</v>
      </c>
      <c r="T212" s="12" t="s">
        <v>95</v>
      </c>
      <c r="U212" s="12" t="s">
        <v>95</v>
      </c>
      <c r="V212" s="12" t="s">
        <v>95</v>
      </c>
      <c r="W212" s="21" t="s">
        <v>95</v>
      </c>
      <c r="X212" s="21">
        <v>0.34650362996126405</v>
      </c>
      <c r="Y212" t="s">
        <v>422</v>
      </c>
    </row>
    <row r="213" spans="1:25" x14ac:dyDescent="0.2">
      <c r="A213" t="s">
        <v>333</v>
      </c>
      <c r="B213" t="s">
        <v>23</v>
      </c>
      <c r="C213" t="s">
        <v>175</v>
      </c>
      <c r="D213" t="s">
        <v>326</v>
      </c>
      <c r="E213" t="s">
        <v>908</v>
      </c>
      <c r="F213" s="51">
        <v>46296</v>
      </c>
      <c r="G213" s="51">
        <v>46387</v>
      </c>
      <c r="H213" s="3" t="s">
        <v>139</v>
      </c>
      <c r="I213" t="s">
        <v>56</v>
      </c>
      <c r="J213" s="2">
        <v>7</v>
      </c>
      <c r="K213" t="s">
        <v>947</v>
      </c>
      <c r="L213" s="31">
        <v>3.0333333333333332</v>
      </c>
      <c r="M213" t="s">
        <v>57</v>
      </c>
      <c r="O213" s="12">
        <v>1179602.1515384614</v>
      </c>
      <c r="P213" s="12">
        <v>1923076.923076923</v>
      </c>
      <c r="Q213" s="13">
        <v>0.63027586934188484</v>
      </c>
      <c r="R213" s="11">
        <v>25</v>
      </c>
      <c r="S213" s="11">
        <v>100</v>
      </c>
      <c r="T213" s="12">
        <v>1435874.5430198673</v>
      </c>
      <c r="U213" s="12">
        <v>5743498</v>
      </c>
      <c r="V213" s="12">
        <v>4307623.4569801325</v>
      </c>
      <c r="W213" s="13">
        <v>0.25</v>
      </c>
      <c r="X213" s="23">
        <v>0.44084891187851694</v>
      </c>
      <c r="Y213" t="s">
        <v>378</v>
      </c>
    </row>
    <row r="214" spans="1:25" x14ac:dyDescent="0.2">
      <c r="A214" t="s">
        <v>380</v>
      </c>
      <c r="B214" t="s">
        <v>23</v>
      </c>
      <c r="C214" t="s">
        <v>175</v>
      </c>
      <c r="D214" t="s">
        <v>149</v>
      </c>
      <c r="E214" t="s">
        <v>909</v>
      </c>
      <c r="F214" s="10">
        <v>46204</v>
      </c>
      <c r="G214" s="10">
        <v>46388</v>
      </c>
      <c r="H214" s="3" t="s">
        <v>139</v>
      </c>
      <c r="I214" t="s">
        <v>56</v>
      </c>
      <c r="J214" s="2">
        <v>7</v>
      </c>
      <c r="K214" t="s">
        <v>947</v>
      </c>
      <c r="L214" s="31">
        <v>6.1333333333333337</v>
      </c>
      <c r="M214" t="s">
        <v>57</v>
      </c>
      <c r="O214" s="12">
        <v>770953.69</v>
      </c>
      <c r="P214" s="12">
        <v>1493309.524740662</v>
      </c>
      <c r="Q214" s="20">
        <v>0.93696397606017301</v>
      </c>
      <c r="R214" s="11">
        <v>26</v>
      </c>
      <c r="S214" s="11">
        <v>130</v>
      </c>
      <c r="T214" s="12">
        <v>1493309.524740662</v>
      </c>
      <c r="U214" s="12">
        <v>7466548</v>
      </c>
      <c r="V214" s="12">
        <v>5973238.4752593376</v>
      </c>
      <c r="W214" s="21">
        <v>0.2</v>
      </c>
      <c r="X214" s="21">
        <v>0.44084891187851694</v>
      </c>
      <c r="Y214" t="s">
        <v>95</v>
      </c>
    </row>
    <row r="215" spans="1:25" x14ac:dyDescent="0.2">
      <c r="A215" t="s">
        <v>333</v>
      </c>
      <c r="B215" t="s">
        <v>23</v>
      </c>
      <c r="C215" t="s">
        <v>175</v>
      </c>
      <c r="D215" t="s">
        <v>326</v>
      </c>
      <c r="E215" t="s">
        <v>910</v>
      </c>
      <c r="F215" s="51">
        <v>46388</v>
      </c>
      <c r="G215" s="51">
        <v>46477</v>
      </c>
      <c r="H215" s="3" t="s">
        <v>139</v>
      </c>
      <c r="I215" t="s">
        <v>56</v>
      </c>
      <c r="J215" s="2">
        <v>8</v>
      </c>
      <c r="K215" t="s">
        <v>947</v>
      </c>
      <c r="L215" s="31">
        <v>2.9666666666666668</v>
      </c>
      <c r="M215" t="s">
        <v>57</v>
      </c>
      <c r="O215" s="12">
        <v>1179602.1515384614</v>
      </c>
      <c r="P215" s="12">
        <v>1923076.923076923</v>
      </c>
      <c r="Q215" s="13">
        <v>0.63027586934188484</v>
      </c>
      <c r="R215" s="11">
        <v>25</v>
      </c>
      <c r="S215" s="11">
        <v>100</v>
      </c>
      <c r="T215" s="12">
        <v>1435874.5430198673</v>
      </c>
      <c r="U215" s="12">
        <v>5743498</v>
      </c>
      <c r="V215" s="12">
        <v>4307623.4569801325</v>
      </c>
      <c r="W215" s="13">
        <v>0.25</v>
      </c>
      <c r="X215" s="23">
        <v>0.44084891187851694</v>
      </c>
      <c r="Y215" t="s">
        <v>376</v>
      </c>
    </row>
    <row r="216" spans="1:25" x14ac:dyDescent="0.2">
      <c r="A216" t="s">
        <v>458</v>
      </c>
      <c r="B216" t="s">
        <v>23</v>
      </c>
      <c r="C216" t="s">
        <v>175</v>
      </c>
      <c r="D216" t="s">
        <v>71</v>
      </c>
      <c r="E216" t="s">
        <v>911</v>
      </c>
      <c r="H216" s="3" t="s">
        <v>216</v>
      </c>
      <c r="I216" t="s">
        <v>56</v>
      </c>
      <c r="J216" s="2">
        <v>8</v>
      </c>
      <c r="K216" t="s">
        <v>947</v>
      </c>
      <c r="N216" t="s">
        <v>603</v>
      </c>
      <c r="O216" s="12">
        <v>0</v>
      </c>
      <c r="P216" s="12" t="s">
        <v>951</v>
      </c>
      <c r="Q216" s="28">
        <v>0</v>
      </c>
      <c r="R216" s="11" t="s">
        <v>95</v>
      </c>
      <c r="S216" s="11" t="s">
        <v>95</v>
      </c>
      <c r="T216" s="12" t="s">
        <v>95</v>
      </c>
      <c r="U216" s="12" t="s">
        <v>95</v>
      </c>
      <c r="V216" s="12" t="s">
        <v>95</v>
      </c>
      <c r="W216" s="21" t="s">
        <v>95</v>
      </c>
      <c r="X216" s="21">
        <v>0.49613900866607147</v>
      </c>
      <c r="Y216" t="s">
        <v>379</v>
      </c>
    </row>
    <row r="217" spans="1:25" x14ac:dyDescent="0.2">
      <c r="A217" t="s">
        <v>22</v>
      </c>
      <c r="B217" t="s">
        <v>23</v>
      </c>
      <c r="C217" t="s">
        <v>24</v>
      </c>
      <c r="D217" t="s">
        <v>25</v>
      </c>
      <c r="E217" t="s">
        <v>640</v>
      </c>
      <c r="F217" s="10">
        <v>45809</v>
      </c>
      <c r="G217" s="10">
        <v>46113</v>
      </c>
      <c r="H217" s="3" t="s">
        <v>27</v>
      </c>
      <c r="I217" t="s">
        <v>28</v>
      </c>
      <c r="J217" s="2" t="s">
        <v>30</v>
      </c>
      <c r="K217" t="s">
        <v>948</v>
      </c>
      <c r="L217" s="31">
        <v>10.133333333333333</v>
      </c>
      <c r="N217" t="s">
        <v>31</v>
      </c>
      <c r="O217" s="12">
        <v>176875</v>
      </c>
      <c r="P217" s="12">
        <v>8257804.25</v>
      </c>
      <c r="Q217" s="13">
        <v>45.687232508833922</v>
      </c>
      <c r="R217" s="11">
        <v>119</v>
      </c>
      <c r="S217" s="11">
        <v>221</v>
      </c>
      <c r="T217" s="12">
        <v>6056095.9219958549</v>
      </c>
      <c r="U217" s="12">
        <v>11214992</v>
      </c>
      <c r="V217" s="12">
        <v>5158896.0780041451</v>
      </c>
      <c r="W217" s="13">
        <v>0.53846153846153844</v>
      </c>
      <c r="X217" s="23">
        <v>0.22048781761400371</v>
      </c>
      <c r="Y217" t="s">
        <v>95</v>
      </c>
    </row>
    <row r="218" spans="1:25" x14ac:dyDescent="0.2">
      <c r="A218" t="s">
        <v>32</v>
      </c>
      <c r="B218" t="s">
        <v>23</v>
      </c>
      <c r="C218" t="s">
        <v>24</v>
      </c>
      <c r="D218" t="s">
        <v>25</v>
      </c>
      <c r="E218" t="s">
        <v>641</v>
      </c>
      <c r="F218" s="10">
        <v>45809</v>
      </c>
      <c r="G218" s="10">
        <v>46192</v>
      </c>
      <c r="H218" s="3" t="s">
        <v>33</v>
      </c>
      <c r="I218" t="s">
        <v>28</v>
      </c>
      <c r="J218" s="2" t="s">
        <v>30</v>
      </c>
      <c r="K218" t="s">
        <v>948</v>
      </c>
      <c r="L218" s="31">
        <v>12.766666666666667</v>
      </c>
      <c r="N218" t="s">
        <v>34</v>
      </c>
      <c r="O218" s="12">
        <v>353750</v>
      </c>
      <c r="P218" s="12">
        <v>15640506.135502387</v>
      </c>
      <c r="Q218" s="13">
        <v>43.213444906013812</v>
      </c>
      <c r="R218" s="11">
        <v>325</v>
      </c>
      <c r="S218" s="11">
        <v>550</v>
      </c>
      <c r="T218" s="12">
        <v>15640506.135502387</v>
      </c>
      <c r="U218" s="12">
        <v>26509332</v>
      </c>
      <c r="V218" s="12">
        <v>10868825.864497613</v>
      </c>
      <c r="W218" s="13">
        <v>0.59090909090909094</v>
      </c>
      <c r="X218" s="23">
        <v>0.58652348797969112</v>
      </c>
      <c r="Y218" t="s">
        <v>377</v>
      </c>
    </row>
    <row r="219" spans="1:25" x14ac:dyDescent="0.2">
      <c r="A219" t="s">
        <v>32</v>
      </c>
      <c r="B219" t="s">
        <v>23</v>
      </c>
      <c r="C219" t="s">
        <v>24</v>
      </c>
      <c r="D219" t="s">
        <v>25</v>
      </c>
      <c r="E219" t="s">
        <v>642</v>
      </c>
      <c r="F219" s="10">
        <v>45809</v>
      </c>
      <c r="G219" s="10">
        <v>46192</v>
      </c>
      <c r="H219" s="3" t="s">
        <v>33</v>
      </c>
      <c r="I219" t="s">
        <v>28</v>
      </c>
      <c r="J219" s="2" t="s">
        <v>30</v>
      </c>
      <c r="K219" t="s">
        <v>948</v>
      </c>
      <c r="L219" s="31">
        <v>12.766666666666667</v>
      </c>
      <c r="N219" t="s">
        <v>36</v>
      </c>
      <c r="O219" s="12">
        <v>353750</v>
      </c>
      <c r="P219" s="12">
        <v>15640506.135502387</v>
      </c>
      <c r="Q219" s="13">
        <v>43.213444906013812</v>
      </c>
      <c r="R219" s="11">
        <v>325</v>
      </c>
      <c r="S219" s="11">
        <v>550</v>
      </c>
      <c r="T219" s="12">
        <v>15640506.135502387</v>
      </c>
      <c r="U219" s="12">
        <v>26509332</v>
      </c>
      <c r="V219" s="12">
        <v>10868825.864497613</v>
      </c>
      <c r="W219" s="13">
        <v>0.59090909090909094</v>
      </c>
      <c r="X219" s="23">
        <v>0.58652348797969112</v>
      </c>
      <c r="Y219" t="s">
        <v>95</v>
      </c>
    </row>
    <row r="220" spans="1:25" x14ac:dyDescent="0.2">
      <c r="A220" t="s">
        <v>22</v>
      </c>
      <c r="B220" t="s">
        <v>23</v>
      </c>
      <c r="C220" t="s">
        <v>24</v>
      </c>
      <c r="D220" t="s">
        <v>25</v>
      </c>
      <c r="E220" t="s">
        <v>643</v>
      </c>
      <c r="F220" s="10">
        <v>45809</v>
      </c>
      <c r="G220" s="10">
        <v>46113</v>
      </c>
      <c r="H220" s="3" t="s">
        <v>27</v>
      </c>
      <c r="I220" t="s">
        <v>28</v>
      </c>
      <c r="J220" s="2" t="s">
        <v>30</v>
      </c>
      <c r="K220" t="s">
        <v>948</v>
      </c>
      <c r="L220" s="31">
        <v>10.133333333333333</v>
      </c>
      <c r="N220" t="s">
        <v>610</v>
      </c>
      <c r="O220" s="12">
        <v>176875</v>
      </c>
      <c r="P220" s="12">
        <v>8257804.25</v>
      </c>
      <c r="Q220" s="13">
        <v>45.687232508833922</v>
      </c>
      <c r="R220" s="11">
        <v>119</v>
      </c>
      <c r="S220" s="11">
        <v>221</v>
      </c>
      <c r="T220" s="12">
        <v>6056095.9219958549</v>
      </c>
      <c r="U220" s="12">
        <v>11214992</v>
      </c>
      <c r="V220" s="12">
        <v>5158896.0780041451</v>
      </c>
      <c r="W220" s="13">
        <v>0.53846153846153844</v>
      </c>
      <c r="X220" s="23">
        <v>0.22048781761400371</v>
      </c>
      <c r="Y220" t="s">
        <v>95</v>
      </c>
    </row>
    <row r="221" spans="1:25" x14ac:dyDescent="0.2">
      <c r="A221" t="s">
        <v>22</v>
      </c>
      <c r="B221" t="s">
        <v>23</v>
      </c>
      <c r="C221" t="s">
        <v>24</v>
      </c>
      <c r="D221" t="s">
        <v>25</v>
      </c>
      <c r="E221" t="s">
        <v>644</v>
      </c>
      <c r="F221" s="10">
        <v>45809</v>
      </c>
      <c r="G221" s="10">
        <v>46178</v>
      </c>
      <c r="H221" s="3" t="s">
        <v>27</v>
      </c>
      <c r="I221" t="s">
        <v>28</v>
      </c>
      <c r="J221" s="2" t="s">
        <v>30</v>
      </c>
      <c r="K221" t="s">
        <v>948</v>
      </c>
      <c r="L221" s="31">
        <v>12.3</v>
      </c>
      <c r="N221" t="s">
        <v>37</v>
      </c>
      <c r="O221" s="12">
        <v>176875</v>
      </c>
      <c r="P221" s="12">
        <v>8257804.25</v>
      </c>
      <c r="Q221" s="13">
        <v>45.687232508833922</v>
      </c>
      <c r="R221" s="11">
        <v>119</v>
      </c>
      <c r="S221" s="11">
        <v>221</v>
      </c>
      <c r="T221" s="12">
        <v>6056095.9219958549</v>
      </c>
      <c r="U221" s="12">
        <v>11214992</v>
      </c>
      <c r="V221" s="12">
        <v>5158896.0780041451</v>
      </c>
      <c r="W221" s="13">
        <v>0.53846153846153844</v>
      </c>
      <c r="X221" s="23">
        <v>0.22048781761400371</v>
      </c>
      <c r="Y221" t="s">
        <v>410</v>
      </c>
    </row>
    <row r="222" spans="1:25" x14ac:dyDescent="0.2">
      <c r="A222" t="s">
        <v>47</v>
      </c>
      <c r="B222" t="s">
        <v>23</v>
      </c>
      <c r="C222" t="s">
        <v>24</v>
      </c>
      <c r="D222" t="s">
        <v>41</v>
      </c>
      <c r="E222" t="s">
        <v>645</v>
      </c>
      <c r="F222" s="10">
        <v>45992</v>
      </c>
      <c r="G222" s="10">
        <v>46082</v>
      </c>
      <c r="H222" s="3" t="s">
        <v>43</v>
      </c>
      <c r="I222" t="s">
        <v>28</v>
      </c>
      <c r="J222" s="2" t="s">
        <v>30</v>
      </c>
      <c r="K222" t="s">
        <v>948</v>
      </c>
      <c r="L222" s="31">
        <v>3</v>
      </c>
      <c r="M222" t="s">
        <v>49</v>
      </c>
      <c r="N222" t="s">
        <v>50</v>
      </c>
      <c r="O222" s="12">
        <v>385476.85</v>
      </c>
      <c r="P222" s="12" t="s">
        <v>951</v>
      </c>
      <c r="Q222" s="13" t="s">
        <v>95</v>
      </c>
      <c r="R222" s="11" t="s">
        <v>95</v>
      </c>
      <c r="S222" s="11" t="s">
        <v>95</v>
      </c>
      <c r="T222" s="12" t="s">
        <v>95</v>
      </c>
      <c r="U222" s="12" t="s">
        <v>95</v>
      </c>
      <c r="V222" s="12" t="s">
        <v>95</v>
      </c>
      <c r="W222" s="13" t="s">
        <v>95</v>
      </c>
      <c r="X222" s="21">
        <v>0.34650362996126405</v>
      </c>
      <c r="Y222" t="s">
        <v>442</v>
      </c>
    </row>
    <row r="223" spans="1:25" x14ac:dyDescent="0.2">
      <c r="A223" t="s">
        <v>51</v>
      </c>
      <c r="B223" t="s">
        <v>23</v>
      </c>
      <c r="C223" t="s">
        <v>24</v>
      </c>
      <c r="D223" t="s">
        <v>41</v>
      </c>
      <c r="E223" t="s">
        <v>646</v>
      </c>
      <c r="F223" s="10">
        <v>45839</v>
      </c>
      <c r="G223" s="10">
        <v>46023</v>
      </c>
      <c r="H223" s="3" t="s">
        <v>43</v>
      </c>
      <c r="I223" t="s">
        <v>28</v>
      </c>
      <c r="J223" s="2" t="s">
        <v>30</v>
      </c>
      <c r="K223" t="s">
        <v>948</v>
      </c>
      <c r="L223" s="31">
        <v>6.1333333333333337</v>
      </c>
      <c r="N223" t="s">
        <v>53</v>
      </c>
      <c r="O223" s="12">
        <v>0</v>
      </c>
      <c r="P223" s="12" t="s">
        <v>951</v>
      </c>
      <c r="Q223" s="13" t="s">
        <v>95</v>
      </c>
      <c r="R223" s="11" t="s">
        <v>95</v>
      </c>
      <c r="S223" s="11" t="s">
        <v>95</v>
      </c>
      <c r="T223" s="12" t="s">
        <v>95</v>
      </c>
      <c r="U223" s="12" t="s">
        <v>95</v>
      </c>
      <c r="V223" s="12" t="s">
        <v>95</v>
      </c>
      <c r="W223" s="13" t="s">
        <v>95</v>
      </c>
      <c r="X223" s="21">
        <v>0.34650362996126405</v>
      </c>
      <c r="Y223" t="s">
        <v>95</v>
      </c>
    </row>
    <row r="224" spans="1:25" x14ac:dyDescent="0.2">
      <c r="A224" t="s">
        <v>81</v>
      </c>
      <c r="B224" t="s">
        <v>23</v>
      </c>
      <c r="C224" t="s">
        <v>24</v>
      </c>
      <c r="D224" t="s">
        <v>82</v>
      </c>
      <c r="E224" t="s">
        <v>647</v>
      </c>
      <c r="H224" s="3" t="s">
        <v>84</v>
      </c>
      <c r="I224" t="s">
        <v>28</v>
      </c>
      <c r="J224" s="2" t="s">
        <v>30</v>
      </c>
      <c r="K224" t="s">
        <v>948</v>
      </c>
      <c r="O224" s="12">
        <v>4108910</v>
      </c>
      <c r="P224" s="12">
        <v>6484608</v>
      </c>
      <c r="Q224" s="13">
        <v>0.57818204828044417</v>
      </c>
      <c r="R224" s="11">
        <v>10</v>
      </c>
      <c r="S224" s="11">
        <v>454</v>
      </c>
      <c r="T224" s="12">
        <v>571862.1220195241</v>
      </c>
      <c r="U224" s="12">
        <v>25993733</v>
      </c>
      <c r="V224" s="12">
        <v>25421870.877980474</v>
      </c>
      <c r="W224" s="21">
        <v>2.2026431718061675E-2</v>
      </c>
      <c r="X224" s="21">
        <v>0.27952972957587308</v>
      </c>
      <c r="Y224" t="s">
        <v>412</v>
      </c>
    </row>
    <row r="225" spans="1:25" x14ac:dyDescent="0.2">
      <c r="A225" t="s">
        <v>85</v>
      </c>
      <c r="B225" t="s">
        <v>23</v>
      </c>
      <c r="C225" t="s">
        <v>24</v>
      </c>
      <c r="D225" t="s">
        <v>86</v>
      </c>
      <c r="E225" t="s">
        <v>648</v>
      </c>
      <c r="F225" s="10">
        <v>45839</v>
      </c>
      <c r="G225" s="10">
        <v>45961</v>
      </c>
      <c r="H225" s="3" t="s">
        <v>88</v>
      </c>
      <c r="I225" t="s">
        <v>28</v>
      </c>
      <c r="J225" s="2" t="s">
        <v>30</v>
      </c>
      <c r="K225" t="s">
        <v>948</v>
      </c>
      <c r="L225" s="31">
        <v>4.0999999999999996</v>
      </c>
      <c r="M225" t="s">
        <v>57</v>
      </c>
      <c r="N225" t="s">
        <v>93</v>
      </c>
      <c r="O225" s="12">
        <v>1140744.49</v>
      </c>
      <c r="P225" s="43">
        <v>3843290.4323666408</v>
      </c>
      <c r="Q225" s="13">
        <v>2.3691071629604288</v>
      </c>
      <c r="R225" s="11">
        <v>25</v>
      </c>
      <c r="S225" s="11">
        <v>84</v>
      </c>
      <c r="T225" s="43">
        <v>3843290.4323666408</v>
      </c>
      <c r="U225" s="12">
        <v>7117205</v>
      </c>
      <c r="V225" s="12">
        <v>3273914.5676333592</v>
      </c>
      <c r="W225" s="21">
        <v>0.29761904761904762</v>
      </c>
      <c r="X225" s="21">
        <v>0.36023645650309155</v>
      </c>
      <c r="Y225" t="s">
        <v>95</v>
      </c>
    </row>
    <row r="226" spans="1:25" x14ac:dyDescent="0.2">
      <c r="A226" t="s">
        <v>85</v>
      </c>
      <c r="B226" t="s">
        <v>23</v>
      </c>
      <c r="C226" t="s">
        <v>24</v>
      </c>
      <c r="D226" t="s">
        <v>86</v>
      </c>
      <c r="E226" t="s">
        <v>649</v>
      </c>
      <c r="F226" s="10">
        <v>45839</v>
      </c>
      <c r="G226" s="10">
        <v>45961</v>
      </c>
      <c r="H226" s="3" t="s">
        <v>88</v>
      </c>
      <c r="I226" t="s">
        <v>28</v>
      </c>
      <c r="J226" s="2" t="s">
        <v>30</v>
      </c>
      <c r="K226" t="s">
        <v>948</v>
      </c>
      <c r="L226" s="31">
        <v>4.0999999999999996</v>
      </c>
      <c r="M226" t="s">
        <v>49</v>
      </c>
      <c r="N226" t="s">
        <v>93</v>
      </c>
      <c r="O226" s="12">
        <v>755267.64999999991</v>
      </c>
      <c r="P226" s="43">
        <v>1494612.9459203605</v>
      </c>
      <c r="Q226" s="13">
        <v>0.97891826284411987</v>
      </c>
      <c r="R226" s="11">
        <v>25</v>
      </c>
      <c r="S226" s="11">
        <v>84</v>
      </c>
      <c r="T226" s="43">
        <v>1494612.9459203605</v>
      </c>
      <c r="U226" s="12">
        <v>7117205</v>
      </c>
      <c r="V226" s="12">
        <v>5622592.0540796397</v>
      </c>
      <c r="W226" s="21">
        <v>0.29761904761904762</v>
      </c>
      <c r="X226" s="21">
        <v>0.36023645650309155</v>
      </c>
      <c r="Y226" t="s">
        <v>95</v>
      </c>
    </row>
    <row r="227" spans="1:25" x14ac:dyDescent="0.2">
      <c r="A227" t="s">
        <v>85</v>
      </c>
      <c r="B227" t="s">
        <v>23</v>
      </c>
      <c r="C227" t="s">
        <v>24</v>
      </c>
      <c r="D227" t="s">
        <v>86</v>
      </c>
      <c r="E227" t="s">
        <v>650</v>
      </c>
      <c r="F227" s="10">
        <v>45839</v>
      </c>
      <c r="G227" s="10">
        <v>46022</v>
      </c>
      <c r="H227" s="3" t="s">
        <v>88</v>
      </c>
      <c r="I227" t="s">
        <v>28</v>
      </c>
      <c r="J227" s="2" t="s">
        <v>30</v>
      </c>
      <c r="K227" t="s">
        <v>948</v>
      </c>
      <c r="L227" s="31">
        <v>5.0999999999999996</v>
      </c>
      <c r="M227" t="s">
        <v>49</v>
      </c>
      <c r="N227" t="s">
        <v>94</v>
      </c>
      <c r="O227" s="12">
        <v>755267.64999999991</v>
      </c>
      <c r="P227" s="43">
        <v>0</v>
      </c>
      <c r="Q227" s="13" t="s">
        <v>95</v>
      </c>
      <c r="R227" s="11">
        <v>25</v>
      </c>
      <c r="S227" s="11">
        <v>84</v>
      </c>
      <c r="T227" s="43">
        <v>0</v>
      </c>
      <c r="U227" s="12">
        <v>7117205</v>
      </c>
      <c r="V227" s="12">
        <v>7117205</v>
      </c>
      <c r="W227" s="21">
        <v>0.29761904761904762</v>
      </c>
      <c r="X227" s="21">
        <v>0.36023645650309155</v>
      </c>
      <c r="Y227" t="s">
        <v>95</v>
      </c>
    </row>
    <row r="228" spans="1:25" x14ac:dyDescent="0.2">
      <c r="B228" t="s">
        <v>97</v>
      </c>
      <c r="C228" t="s">
        <v>98</v>
      </c>
      <c r="D228" t="s">
        <v>99</v>
      </c>
      <c r="E228" t="s">
        <v>653</v>
      </c>
      <c r="F228" s="10">
        <v>45809</v>
      </c>
      <c r="G228" s="10">
        <v>46022</v>
      </c>
      <c r="H228" s="3" t="s">
        <v>104</v>
      </c>
      <c r="I228" t="s">
        <v>28</v>
      </c>
      <c r="J228" s="2" t="s">
        <v>30</v>
      </c>
      <c r="K228" t="s">
        <v>948</v>
      </c>
      <c r="L228" s="31">
        <v>6.1</v>
      </c>
      <c r="O228" s="12">
        <v>0</v>
      </c>
      <c r="P228" s="12" t="s">
        <v>951</v>
      </c>
      <c r="Q228" s="20" t="s">
        <v>95</v>
      </c>
      <c r="R228" s="11" t="s">
        <v>95</v>
      </c>
      <c r="S228" s="11" t="s">
        <v>95</v>
      </c>
      <c r="T228" s="12" t="s">
        <v>95</v>
      </c>
      <c r="U228" s="12" t="s">
        <v>95</v>
      </c>
      <c r="V228" s="12" t="s">
        <v>95</v>
      </c>
      <c r="W228" s="21" t="s">
        <v>95</v>
      </c>
      <c r="X228" s="21">
        <v>0.39686971834061119</v>
      </c>
      <c r="Y228" t="s">
        <v>414</v>
      </c>
    </row>
    <row r="229" spans="1:25" x14ac:dyDescent="0.2">
      <c r="A229" t="s">
        <v>105</v>
      </c>
      <c r="B229" t="s">
        <v>23</v>
      </c>
      <c r="C229" t="s">
        <v>106</v>
      </c>
      <c r="D229" t="s">
        <v>107</v>
      </c>
      <c r="E229" t="s">
        <v>692</v>
      </c>
      <c r="F229" s="10">
        <v>45684</v>
      </c>
      <c r="G229" s="10">
        <v>45774</v>
      </c>
      <c r="H229" s="3" t="s">
        <v>70</v>
      </c>
      <c r="I229" t="s">
        <v>28</v>
      </c>
      <c r="J229" s="2" t="s">
        <v>30</v>
      </c>
      <c r="K229" t="s">
        <v>948</v>
      </c>
      <c r="L229" s="31">
        <v>3</v>
      </c>
      <c r="N229" t="s">
        <v>109</v>
      </c>
      <c r="O229" s="12">
        <v>85661.555555555562</v>
      </c>
      <c r="P229" s="12">
        <v>202222.22222222222</v>
      </c>
      <c r="Q229" s="20">
        <v>1.3607115340214848</v>
      </c>
      <c r="R229" s="11" t="s">
        <v>95</v>
      </c>
      <c r="S229" s="11">
        <v>0</v>
      </c>
      <c r="T229" s="12">
        <v>0</v>
      </c>
      <c r="U229" s="12">
        <v>0</v>
      </c>
      <c r="V229" s="12">
        <v>0</v>
      </c>
      <c r="W229" s="21" t="s">
        <v>95</v>
      </c>
      <c r="X229" s="21" t="s">
        <v>95</v>
      </c>
      <c r="Y229" t="s">
        <v>432</v>
      </c>
    </row>
    <row r="230" spans="1:25" x14ac:dyDescent="0.2">
      <c r="A230" t="s">
        <v>105</v>
      </c>
      <c r="B230" t="s">
        <v>23</v>
      </c>
      <c r="C230" t="s">
        <v>106</v>
      </c>
      <c r="D230" t="s">
        <v>107</v>
      </c>
      <c r="E230" t="s">
        <v>693</v>
      </c>
      <c r="F230" s="10">
        <v>45684</v>
      </c>
      <c r="G230" s="10">
        <v>45869</v>
      </c>
      <c r="H230" s="3" t="s">
        <v>70</v>
      </c>
      <c r="I230" t="s">
        <v>28</v>
      </c>
      <c r="J230" s="2" t="s">
        <v>30</v>
      </c>
      <c r="K230" t="s">
        <v>948</v>
      </c>
      <c r="L230" s="31">
        <v>6.166666666666667</v>
      </c>
      <c r="N230" t="s">
        <v>111</v>
      </c>
      <c r="O230" s="12">
        <v>85661.555555555562</v>
      </c>
      <c r="P230" s="12">
        <v>202222.22222222222</v>
      </c>
      <c r="Q230" s="20">
        <v>1.3607115340214848</v>
      </c>
      <c r="R230" s="11" t="s">
        <v>95</v>
      </c>
      <c r="S230" s="11">
        <v>0</v>
      </c>
      <c r="T230" s="12">
        <v>0</v>
      </c>
      <c r="U230" s="12">
        <v>0</v>
      </c>
      <c r="V230" s="12">
        <v>0</v>
      </c>
      <c r="W230" s="21" t="s">
        <v>95</v>
      </c>
      <c r="X230" s="21" t="s">
        <v>95</v>
      </c>
      <c r="Y230" t="s">
        <v>444</v>
      </c>
    </row>
    <row r="231" spans="1:25" x14ac:dyDescent="0.2">
      <c r="A231" t="s">
        <v>105</v>
      </c>
      <c r="B231" t="s">
        <v>23</v>
      </c>
      <c r="C231" t="s">
        <v>106</v>
      </c>
      <c r="D231" t="s">
        <v>107</v>
      </c>
      <c r="E231" t="s">
        <v>694</v>
      </c>
      <c r="F231" s="10">
        <v>45572</v>
      </c>
      <c r="G231" s="10">
        <v>45930</v>
      </c>
      <c r="H231" s="3" t="s">
        <v>70</v>
      </c>
      <c r="I231" t="s">
        <v>28</v>
      </c>
      <c r="J231" s="2" t="s">
        <v>30</v>
      </c>
      <c r="K231" t="s">
        <v>948</v>
      </c>
      <c r="L231" s="31">
        <v>11.933333333333334</v>
      </c>
      <c r="N231" t="s">
        <v>113</v>
      </c>
      <c r="O231" s="12">
        <v>85661.555555555562</v>
      </c>
      <c r="P231" s="12">
        <v>202222.22222222222</v>
      </c>
      <c r="Q231" s="13">
        <v>1.3607115340214848</v>
      </c>
      <c r="R231" s="11" t="s">
        <v>95</v>
      </c>
      <c r="S231" s="11">
        <v>0</v>
      </c>
      <c r="T231" s="12">
        <v>0</v>
      </c>
      <c r="U231" s="12">
        <v>0</v>
      </c>
      <c r="V231" s="12">
        <v>0</v>
      </c>
      <c r="W231" s="21" t="s">
        <v>95</v>
      </c>
      <c r="X231" s="21" t="s">
        <v>95</v>
      </c>
      <c r="Y231" t="s">
        <v>95</v>
      </c>
    </row>
    <row r="232" spans="1:25" x14ac:dyDescent="0.2">
      <c r="A232" t="s">
        <v>105</v>
      </c>
      <c r="B232" t="s">
        <v>23</v>
      </c>
      <c r="C232" t="s">
        <v>106</v>
      </c>
      <c r="D232" t="s">
        <v>107</v>
      </c>
      <c r="E232" t="s">
        <v>695</v>
      </c>
      <c r="F232" s="10">
        <v>45774</v>
      </c>
      <c r="G232" s="10">
        <v>45959</v>
      </c>
      <c r="H232" s="3" t="s">
        <v>70</v>
      </c>
      <c r="I232" t="s">
        <v>28</v>
      </c>
      <c r="J232" s="2" t="s">
        <v>30</v>
      </c>
      <c r="K232" t="s">
        <v>948</v>
      </c>
      <c r="L232" s="31">
        <v>6.166666666666667</v>
      </c>
      <c r="N232" t="s">
        <v>114</v>
      </c>
      <c r="O232" s="12">
        <v>85661.555555555562</v>
      </c>
      <c r="P232" s="12">
        <v>202222.22222222222</v>
      </c>
      <c r="Q232" s="13">
        <v>1.3607115340214848</v>
      </c>
      <c r="R232" s="11" t="s">
        <v>95</v>
      </c>
      <c r="S232" s="11">
        <v>0</v>
      </c>
      <c r="T232" s="12">
        <v>0</v>
      </c>
      <c r="U232" s="12">
        <v>0</v>
      </c>
      <c r="V232" s="12">
        <v>0</v>
      </c>
      <c r="W232" s="21" t="s">
        <v>95</v>
      </c>
      <c r="X232" s="21" t="s">
        <v>95</v>
      </c>
      <c r="Y232" t="s">
        <v>95</v>
      </c>
    </row>
    <row r="233" spans="1:25" x14ac:dyDescent="0.2">
      <c r="A233" t="s">
        <v>105</v>
      </c>
      <c r="B233" t="s">
        <v>23</v>
      </c>
      <c r="C233" t="s">
        <v>106</v>
      </c>
      <c r="D233" t="s">
        <v>107</v>
      </c>
      <c r="E233" t="s">
        <v>696</v>
      </c>
      <c r="F233" s="10">
        <v>46023</v>
      </c>
      <c r="G233" s="10">
        <v>46266</v>
      </c>
      <c r="H233" s="3" t="s">
        <v>70</v>
      </c>
      <c r="I233" t="s">
        <v>28</v>
      </c>
      <c r="J233" s="2" t="s">
        <v>30</v>
      </c>
      <c r="K233" t="s">
        <v>948</v>
      </c>
      <c r="L233" s="31">
        <v>8.1</v>
      </c>
      <c r="M233" t="s">
        <v>57</v>
      </c>
      <c r="N233" t="s">
        <v>115</v>
      </c>
      <c r="O233" s="12">
        <v>856615.24555555545</v>
      </c>
      <c r="P233" s="12">
        <v>202222.22222222222</v>
      </c>
      <c r="Q233" s="13">
        <v>-0.76392876116619712</v>
      </c>
      <c r="R233" s="11" t="s">
        <v>95</v>
      </c>
      <c r="S233" s="11">
        <v>0</v>
      </c>
      <c r="T233" s="12">
        <v>0</v>
      </c>
      <c r="U233" s="12">
        <v>0</v>
      </c>
      <c r="V233" s="12">
        <v>0</v>
      </c>
      <c r="W233" s="21" t="s">
        <v>95</v>
      </c>
      <c r="X233" s="21" t="s">
        <v>95</v>
      </c>
      <c r="Y233" t="s">
        <v>95</v>
      </c>
    </row>
    <row r="234" spans="1:25" x14ac:dyDescent="0.2">
      <c r="A234" t="s">
        <v>133</v>
      </c>
      <c r="B234" t="s">
        <v>97</v>
      </c>
      <c r="C234" t="s">
        <v>106</v>
      </c>
      <c r="D234" t="s">
        <v>134</v>
      </c>
      <c r="E234" t="s">
        <v>697</v>
      </c>
      <c r="F234" s="10">
        <v>45809</v>
      </c>
      <c r="G234" s="10">
        <v>45992</v>
      </c>
      <c r="H234" s="3" t="s">
        <v>70</v>
      </c>
      <c r="I234" t="s">
        <v>28</v>
      </c>
      <c r="J234" s="2" t="s">
        <v>30</v>
      </c>
      <c r="K234" t="s">
        <v>948</v>
      </c>
      <c r="L234" s="31">
        <v>6.1</v>
      </c>
      <c r="O234" s="12">
        <v>740722</v>
      </c>
      <c r="P234" s="12">
        <v>0</v>
      </c>
      <c r="Q234" s="13">
        <v>-1</v>
      </c>
      <c r="R234" s="11" t="s">
        <v>95</v>
      </c>
      <c r="S234" s="11">
        <v>0</v>
      </c>
      <c r="T234" s="12">
        <v>0</v>
      </c>
      <c r="U234" s="12">
        <v>0</v>
      </c>
      <c r="V234" s="12">
        <v>0</v>
      </c>
      <c r="W234" s="21" t="s">
        <v>95</v>
      </c>
      <c r="X234" s="21" t="s">
        <v>95</v>
      </c>
      <c r="Y234" t="s">
        <v>416</v>
      </c>
    </row>
    <row r="235" spans="1:25" x14ac:dyDescent="0.2">
      <c r="A235" t="s">
        <v>145</v>
      </c>
      <c r="B235" t="s">
        <v>97</v>
      </c>
      <c r="C235" t="s">
        <v>106</v>
      </c>
      <c r="D235" t="s">
        <v>134</v>
      </c>
      <c r="E235" t="s">
        <v>698</v>
      </c>
      <c r="F235" s="10">
        <v>45748</v>
      </c>
      <c r="G235" s="10">
        <v>45992</v>
      </c>
      <c r="H235" s="3" t="s">
        <v>70</v>
      </c>
      <c r="I235" t="s">
        <v>28</v>
      </c>
      <c r="J235" s="2" t="s">
        <v>30</v>
      </c>
      <c r="K235" t="s">
        <v>948</v>
      </c>
      <c r="L235" s="31">
        <v>8.1333333333333329</v>
      </c>
      <c r="O235" s="12">
        <v>1680000</v>
      </c>
      <c r="P235" s="12">
        <v>0</v>
      </c>
      <c r="Q235" s="13">
        <v>-1</v>
      </c>
      <c r="R235" s="11" t="s">
        <v>95</v>
      </c>
      <c r="S235" s="11">
        <v>0</v>
      </c>
      <c r="T235" s="12">
        <v>0</v>
      </c>
      <c r="U235" s="12">
        <v>0</v>
      </c>
      <c r="V235" s="12">
        <v>0</v>
      </c>
      <c r="W235" s="21" t="s">
        <v>95</v>
      </c>
      <c r="X235" s="21" t="s">
        <v>95</v>
      </c>
      <c r="Y235" t="s">
        <v>95</v>
      </c>
    </row>
    <row r="236" spans="1:25" x14ac:dyDescent="0.2">
      <c r="A236" t="s">
        <v>145</v>
      </c>
      <c r="B236" t="s">
        <v>23</v>
      </c>
      <c r="C236" t="s">
        <v>106</v>
      </c>
      <c r="D236" t="s">
        <v>134</v>
      </c>
      <c r="E236" t="s">
        <v>699</v>
      </c>
      <c r="F236" s="10">
        <v>45748</v>
      </c>
      <c r="G236" s="10">
        <v>45992</v>
      </c>
      <c r="H236" s="3" t="s">
        <v>70</v>
      </c>
      <c r="I236" t="s">
        <v>28</v>
      </c>
      <c r="J236" s="2" t="s">
        <v>30</v>
      </c>
      <c r="K236" t="s">
        <v>948</v>
      </c>
      <c r="L236" s="31">
        <v>8.1333333333333329</v>
      </c>
      <c r="O236" s="12">
        <v>1680000</v>
      </c>
      <c r="P236" s="12">
        <v>0</v>
      </c>
      <c r="Q236" s="13">
        <v>-1</v>
      </c>
      <c r="R236" s="11" t="s">
        <v>95</v>
      </c>
      <c r="S236" s="11">
        <v>0</v>
      </c>
      <c r="T236" s="12">
        <v>0</v>
      </c>
      <c r="U236" s="12">
        <v>0</v>
      </c>
      <c r="V236" s="12">
        <v>0</v>
      </c>
      <c r="W236" s="21" t="s">
        <v>95</v>
      </c>
      <c r="X236" s="21" t="s">
        <v>95</v>
      </c>
      <c r="Y236" t="s">
        <v>95</v>
      </c>
    </row>
    <row r="237" spans="1:25" x14ac:dyDescent="0.2">
      <c r="A237" t="s">
        <v>157</v>
      </c>
      <c r="B237" t="s">
        <v>97</v>
      </c>
      <c r="C237" t="s">
        <v>106</v>
      </c>
      <c r="D237" t="s">
        <v>134</v>
      </c>
      <c r="E237" t="s">
        <v>700</v>
      </c>
      <c r="F237" s="10">
        <v>45658</v>
      </c>
      <c r="G237" s="10">
        <v>45992</v>
      </c>
      <c r="H237" s="3" t="s">
        <v>70</v>
      </c>
      <c r="I237" t="s">
        <v>28</v>
      </c>
      <c r="J237" s="2" t="s">
        <v>30</v>
      </c>
      <c r="K237" t="s">
        <v>948</v>
      </c>
      <c r="L237" s="31">
        <v>11.133333333333333</v>
      </c>
      <c r="O237" s="12">
        <v>2468629</v>
      </c>
      <c r="P237" s="12">
        <v>0</v>
      </c>
      <c r="Q237" s="13">
        <v>-1</v>
      </c>
      <c r="R237" s="11" t="s">
        <v>95</v>
      </c>
      <c r="S237" s="11">
        <v>0</v>
      </c>
      <c r="T237" s="12">
        <v>0</v>
      </c>
      <c r="U237" s="12">
        <v>0</v>
      </c>
      <c r="V237" s="12">
        <v>0</v>
      </c>
      <c r="W237" s="21" t="s">
        <v>95</v>
      </c>
      <c r="X237" s="21" t="s">
        <v>95</v>
      </c>
      <c r="Y237" t="s">
        <v>95</v>
      </c>
    </row>
    <row r="238" spans="1:25" x14ac:dyDescent="0.2">
      <c r="A238" t="s">
        <v>159</v>
      </c>
      <c r="B238" t="s">
        <v>97</v>
      </c>
      <c r="C238" t="s">
        <v>106</v>
      </c>
      <c r="D238" t="s">
        <v>134</v>
      </c>
      <c r="E238" t="s">
        <v>701</v>
      </c>
      <c r="F238" s="10">
        <v>45717</v>
      </c>
      <c r="G238" s="10">
        <v>45930</v>
      </c>
      <c r="H238" s="3" t="s">
        <v>70</v>
      </c>
      <c r="I238" t="s">
        <v>28</v>
      </c>
      <c r="J238" s="2" t="s">
        <v>30</v>
      </c>
      <c r="K238" t="s">
        <v>948</v>
      </c>
      <c r="L238" s="31">
        <v>9.1666666666666661</v>
      </c>
      <c r="O238" s="12">
        <v>1481444</v>
      </c>
      <c r="P238" s="12">
        <v>0</v>
      </c>
      <c r="Q238" s="13">
        <v>-1</v>
      </c>
      <c r="R238" s="11" t="s">
        <v>95</v>
      </c>
      <c r="S238" s="11">
        <v>0</v>
      </c>
      <c r="T238" s="12">
        <v>0</v>
      </c>
      <c r="U238" s="12">
        <v>0</v>
      </c>
      <c r="V238" s="12">
        <v>0</v>
      </c>
      <c r="W238" s="21" t="s">
        <v>95</v>
      </c>
      <c r="X238" s="21" t="s">
        <v>95</v>
      </c>
      <c r="Y238" t="s">
        <v>95</v>
      </c>
    </row>
    <row r="239" spans="1:25" x14ac:dyDescent="0.2">
      <c r="A239" t="s">
        <v>162</v>
      </c>
      <c r="B239" t="s">
        <v>23</v>
      </c>
      <c r="C239" t="s">
        <v>106</v>
      </c>
      <c r="D239" t="s">
        <v>163</v>
      </c>
      <c r="E239" t="e">
        <v>#N/A</v>
      </c>
      <c r="F239" s="10">
        <v>45839</v>
      </c>
      <c r="G239" s="10">
        <v>45959</v>
      </c>
      <c r="H239" s="3" t="s">
        <v>70</v>
      </c>
      <c r="I239" t="s">
        <v>28</v>
      </c>
      <c r="J239" s="2" t="s">
        <v>30</v>
      </c>
      <c r="K239" t="s">
        <v>948</v>
      </c>
      <c r="O239" s="12">
        <v>0</v>
      </c>
      <c r="P239" s="12" t="s">
        <v>951</v>
      </c>
      <c r="Q239" s="20" t="s">
        <v>95</v>
      </c>
      <c r="R239" s="11" t="s">
        <v>95</v>
      </c>
      <c r="S239" s="11" t="s">
        <v>95</v>
      </c>
      <c r="T239" s="12" t="s">
        <v>95</v>
      </c>
      <c r="U239" s="12" t="s">
        <v>95</v>
      </c>
      <c r="V239" s="12" t="s">
        <v>95</v>
      </c>
      <c r="W239" s="20" t="s">
        <v>95</v>
      </c>
      <c r="X239" s="21" t="s">
        <v>95</v>
      </c>
      <c r="Y239" t="s">
        <v>418</v>
      </c>
    </row>
    <row r="240" spans="1:25" x14ac:dyDescent="0.2">
      <c r="A240" t="s">
        <v>164</v>
      </c>
      <c r="B240" t="s">
        <v>23</v>
      </c>
      <c r="C240" t="s">
        <v>106</v>
      </c>
      <c r="D240" t="s">
        <v>163</v>
      </c>
      <c r="E240" t="e">
        <v>#N/A</v>
      </c>
      <c r="F240" s="10">
        <v>45870</v>
      </c>
      <c r="G240" s="10">
        <v>45930</v>
      </c>
      <c r="H240" s="3" t="s">
        <v>70</v>
      </c>
      <c r="I240" t="s">
        <v>28</v>
      </c>
      <c r="J240" s="2" t="s">
        <v>30</v>
      </c>
      <c r="K240" t="s">
        <v>948</v>
      </c>
      <c r="O240" s="12">
        <v>0</v>
      </c>
      <c r="P240" s="12" t="s">
        <v>951</v>
      </c>
      <c r="Q240" s="20" t="s">
        <v>95</v>
      </c>
      <c r="R240" s="11" t="s">
        <v>95</v>
      </c>
      <c r="S240" s="11" t="s">
        <v>95</v>
      </c>
      <c r="T240" s="12" t="s">
        <v>95</v>
      </c>
      <c r="U240" s="12" t="s">
        <v>95</v>
      </c>
      <c r="V240" s="12" t="s">
        <v>95</v>
      </c>
      <c r="W240" s="20" t="s">
        <v>95</v>
      </c>
      <c r="X240" s="21" t="s">
        <v>95</v>
      </c>
      <c r="Y240" t="s">
        <v>95</v>
      </c>
    </row>
    <row r="241" spans="1:25" x14ac:dyDescent="0.2">
      <c r="A241" t="s">
        <v>165</v>
      </c>
      <c r="B241" t="s">
        <v>23</v>
      </c>
      <c r="C241" t="s">
        <v>106</v>
      </c>
      <c r="D241" t="s">
        <v>163</v>
      </c>
      <c r="E241" t="e">
        <v>#N/A</v>
      </c>
      <c r="F241" s="10">
        <v>45901</v>
      </c>
      <c r="G241" s="10">
        <v>45991</v>
      </c>
      <c r="H241" s="3" t="s">
        <v>70</v>
      </c>
      <c r="I241" t="s">
        <v>28</v>
      </c>
      <c r="J241" s="2" t="s">
        <v>30</v>
      </c>
      <c r="K241" t="s">
        <v>948</v>
      </c>
      <c r="O241" s="12">
        <v>0</v>
      </c>
      <c r="P241" s="12" t="s">
        <v>951</v>
      </c>
      <c r="Q241" s="20" t="s">
        <v>95</v>
      </c>
      <c r="R241" s="11" t="s">
        <v>95</v>
      </c>
      <c r="S241" s="11" t="s">
        <v>95</v>
      </c>
      <c r="T241" s="12" t="s">
        <v>95</v>
      </c>
      <c r="U241" s="12" t="s">
        <v>95</v>
      </c>
      <c r="V241" s="12" t="s">
        <v>95</v>
      </c>
      <c r="W241" s="20" t="s">
        <v>95</v>
      </c>
      <c r="X241" s="21" t="s">
        <v>95</v>
      </c>
      <c r="Y241" t="s">
        <v>95</v>
      </c>
    </row>
    <row r="242" spans="1:25" x14ac:dyDescent="0.2">
      <c r="A242" t="s">
        <v>166</v>
      </c>
      <c r="B242" t="s">
        <v>23</v>
      </c>
      <c r="C242" t="s">
        <v>106</v>
      </c>
      <c r="D242" t="s">
        <v>163</v>
      </c>
      <c r="E242" t="e">
        <v>#N/A</v>
      </c>
      <c r="F242" s="10">
        <v>45915</v>
      </c>
      <c r="G242" s="10">
        <v>45960</v>
      </c>
      <c r="H242" s="3" t="s">
        <v>70</v>
      </c>
      <c r="I242" t="s">
        <v>28</v>
      </c>
      <c r="J242" s="2" t="s">
        <v>30</v>
      </c>
      <c r="K242" t="s">
        <v>948</v>
      </c>
      <c r="O242" s="12">
        <v>0</v>
      </c>
      <c r="P242" s="12" t="s">
        <v>951</v>
      </c>
      <c r="Q242" s="20" t="s">
        <v>95</v>
      </c>
      <c r="R242" s="11" t="s">
        <v>95</v>
      </c>
      <c r="S242" s="11" t="s">
        <v>95</v>
      </c>
      <c r="T242" s="12" t="s">
        <v>95</v>
      </c>
      <c r="U242" s="12" t="s">
        <v>95</v>
      </c>
      <c r="V242" s="12" t="s">
        <v>95</v>
      </c>
      <c r="W242" s="20" t="s">
        <v>95</v>
      </c>
      <c r="X242" s="21" t="s">
        <v>95</v>
      </c>
      <c r="Y242" t="s">
        <v>95</v>
      </c>
    </row>
    <row r="243" spans="1:25" x14ac:dyDescent="0.2">
      <c r="A243" s="15"/>
      <c r="B243" s="15" t="s">
        <v>97</v>
      </c>
      <c r="C243" s="15" t="s">
        <v>106</v>
      </c>
      <c r="D243" s="15" t="s">
        <v>134</v>
      </c>
      <c r="E243" t="s">
        <v>702</v>
      </c>
      <c r="F243" s="19">
        <v>45962</v>
      </c>
      <c r="G243" s="19">
        <v>45991</v>
      </c>
      <c r="H243" s="16" t="s">
        <v>70</v>
      </c>
      <c r="I243" s="15" t="s">
        <v>28</v>
      </c>
      <c r="J243" s="2" t="s">
        <v>30</v>
      </c>
      <c r="K243" t="s">
        <v>948</v>
      </c>
      <c r="L243" s="32"/>
      <c r="M243" s="15"/>
      <c r="N243" s="15"/>
      <c r="O243">
        <v>0</v>
      </c>
      <c r="P243" t="s">
        <v>951</v>
      </c>
      <c r="Q243" t="s">
        <v>95</v>
      </c>
      <c r="R243" s="27" t="s">
        <v>95</v>
      </c>
      <c r="S243" s="27" t="s">
        <v>95</v>
      </c>
      <c r="T243" s="27" t="s">
        <v>95</v>
      </c>
      <c r="U243" t="s">
        <v>95</v>
      </c>
      <c r="V243" t="s">
        <v>95</v>
      </c>
      <c r="W243" s="23" t="s">
        <v>95</v>
      </c>
      <c r="X243" s="23" t="s">
        <v>95</v>
      </c>
      <c r="Y243" t="s">
        <v>95</v>
      </c>
    </row>
    <row r="244" spans="1:25" x14ac:dyDescent="0.2">
      <c r="A244" s="15"/>
      <c r="B244" s="15" t="s">
        <v>97</v>
      </c>
      <c r="C244" s="15" t="s">
        <v>106</v>
      </c>
      <c r="D244" s="15" t="s">
        <v>134</v>
      </c>
      <c r="E244" t="s">
        <v>703</v>
      </c>
      <c r="F244" s="19">
        <v>45962</v>
      </c>
      <c r="G244" s="19">
        <v>46112</v>
      </c>
      <c r="H244" s="16" t="s">
        <v>70</v>
      </c>
      <c r="I244" s="15" t="s">
        <v>28</v>
      </c>
      <c r="J244" s="2" t="s">
        <v>30</v>
      </c>
      <c r="K244" t="s">
        <v>948</v>
      </c>
      <c r="L244" s="32"/>
      <c r="M244" s="15"/>
      <c r="N244" s="15"/>
      <c r="O244">
        <v>0</v>
      </c>
      <c r="P244" t="s">
        <v>951</v>
      </c>
      <c r="Q244" t="s">
        <v>95</v>
      </c>
      <c r="R244" s="27" t="s">
        <v>95</v>
      </c>
      <c r="S244" s="27" t="s">
        <v>95</v>
      </c>
      <c r="T244" s="27" t="s">
        <v>95</v>
      </c>
      <c r="U244" t="s">
        <v>95</v>
      </c>
      <c r="V244" t="s">
        <v>95</v>
      </c>
      <c r="W244" s="23" t="s">
        <v>95</v>
      </c>
      <c r="X244" s="23" t="s">
        <v>95</v>
      </c>
      <c r="Y244" t="s">
        <v>420</v>
      </c>
    </row>
    <row r="245" spans="1:25" x14ac:dyDescent="0.2">
      <c r="A245" s="15"/>
      <c r="B245" s="15" t="s">
        <v>97</v>
      </c>
      <c r="C245" s="15" t="s">
        <v>106</v>
      </c>
      <c r="D245" s="15" t="s">
        <v>134</v>
      </c>
      <c r="E245" t="s">
        <v>704</v>
      </c>
      <c r="F245" s="19">
        <v>45962</v>
      </c>
      <c r="G245" s="19">
        <v>46081</v>
      </c>
      <c r="H245" s="16" t="s">
        <v>70</v>
      </c>
      <c r="I245" s="15" t="s">
        <v>28</v>
      </c>
      <c r="J245" s="2" t="s">
        <v>30</v>
      </c>
      <c r="K245" t="s">
        <v>948</v>
      </c>
      <c r="L245" s="32"/>
      <c r="M245" s="15"/>
      <c r="N245" s="15"/>
      <c r="O245">
        <v>0</v>
      </c>
      <c r="P245" t="s">
        <v>951</v>
      </c>
      <c r="Q245" t="s">
        <v>95</v>
      </c>
      <c r="R245" s="27" t="s">
        <v>95</v>
      </c>
      <c r="S245" s="27" t="s">
        <v>95</v>
      </c>
      <c r="T245" s="27" t="s">
        <v>95</v>
      </c>
      <c r="U245" t="s">
        <v>95</v>
      </c>
      <c r="V245" t="s">
        <v>95</v>
      </c>
      <c r="W245" s="23" t="s">
        <v>95</v>
      </c>
      <c r="X245" s="23" t="s">
        <v>95</v>
      </c>
      <c r="Y245" t="s">
        <v>95</v>
      </c>
    </row>
    <row r="246" spans="1:25" x14ac:dyDescent="0.2">
      <c r="A246" s="15"/>
      <c r="B246" s="15" t="s">
        <v>97</v>
      </c>
      <c r="C246" s="15" t="s">
        <v>106</v>
      </c>
      <c r="D246" s="15" t="s">
        <v>134</v>
      </c>
      <c r="E246" t="s">
        <v>705</v>
      </c>
      <c r="F246" s="19">
        <v>45962</v>
      </c>
      <c r="G246" s="19">
        <v>46112</v>
      </c>
      <c r="H246" s="16" t="s">
        <v>70</v>
      </c>
      <c r="I246" s="15" t="s">
        <v>28</v>
      </c>
      <c r="J246" s="2" t="s">
        <v>30</v>
      </c>
      <c r="K246" t="s">
        <v>948</v>
      </c>
      <c r="L246" s="32"/>
      <c r="M246" s="15"/>
      <c r="N246" s="15"/>
      <c r="O246">
        <v>0</v>
      </c>
      <c r="P246" t="s">
        <v>951</v>
      </c>
      <c r="Q246" t="s">
        <v>95</v>
      </c>
      <c r="R246" s="27" t="s">
        <v>95</v>
      </c>
      <c r="S246" s="27" t="s">
        <v>95</v>
      </c>
      <c r="T246" s="27" t="s">
        <v>95</v>
      </c>
      <c r="U246" t="s">
        <v>95</v>
      </c>
      <c r="V246" t="s">
        <v>95</v>
      </c>
      <c r="W246" s="23" t="s">
        <v>95</v>
      </c>
      <c r="X246" s="23" t="s">
        <v>95</v>
      </c>
      <c r="Y246" t="s">
        <v>466</v>
      </c>
    </row>
    <row r="247" spans="1:25" x14ac:dyDescent="0.2">
      <c r="A247" s="15"/>
      <c r="B247" s="15" t="s">
        <v>97</v>
      </c>
      <c r="C247" s="15" t="s">
        <v>106</v>
      </c>
      <c r="D247" s="15" t="s">
        <v>134</v>
      </c>
      <c r="E247" t="s">
        <v>706</v>
      </c>
      <c r="F247" s="19">
        <v>45962</v>
      </c>
      <c r="G247" s="19">
        <v>46203</v>
      </c>
      <c r="H247" s="16" t="s">
        <v>70</v>
      </c>
      <c r="I247" s="15" t="s">
        <v>28</v>
      </c>
      <c r="J247" s="2" t="s">
        <v>30</v>
      </c>
      <c r="K247" t="s">
        <v>948</v>
      </c>
      <c r="L247" s="32"/>
      <c r="M247" s="15"/>
      <c r="N247" s="15"/>
      <c r="O247">
        <v>0</v>
      </c>
      <c r="P247" t="s">
        <v>951</v>
      </c>
      <c r="Q247" t="s">
        <v>95</v>
      </c>
      <c r="R247" s="27" t="s">
        <v>95</v>
      </c>
      <c r="S247" s="27" t="s">
        <v>95</v>
      </c>
      <c r="T247" s="27" t="s">
        <v>95</v>
      </c>
      <c r="U247" t="s">
        <v>95</v>
      </c>
      <c r="V247" t="s">
        <v>95</v>
      </c>
      <c r="W247" s="23" t="s">
        <v>95</v>
      </c>
      <c r="X247" s="23" t="s">
        <v>95</v>
      </c>
      <c r="Y247" t="s">
        <v>95</v>
      </c>
    </row>
    <row r="248" spans="1:25" x14ac:dyDescent="0.2">
      <c r="A248" s="15"/>
      <c r="B248" s="15" t="s">
        <v>97</v>
      </c>
      <c r="C248" s="15" t="s">
        <v>106</v>
      </c>
      <c r="D248" s="15" t="s">
        <v>134</v>
      </c>
      <c r="E248" t="s">
        <v>707</v>
      </c>
      <c r="F248" s="19">
        <v>45962</v>
      </c>
      <c r="G248" s="19">
        <v>45991</v>
      </c>
      <c r="H248" s="16" t="s">
        <v>70</v>
      </c>
      <c r="I248" s="15" t="s">
        <v>28</v>
      </c>
      <c r="J248" s="2" t="s">
        <v>30</v>
      </c>
      <c r="K248" t="s">
        <v>948</v>
      </c>
      <c r="L248" s="32"/>
      <c r="M248" s="15"/>
      <c r="N248" s="15"/>
      <c r="O248">
        <v>0</v>
      </c>
      <c r="P248" t="s">
        <v>951</v>
      </c>
      <c r="Q248" t="s">
        <v>95</v>
      </c>
      <c r="R248" s="27" t="s">
        <v>95</v>
      </c>
      <c r="S248" s="27" t="s">
        <v>95</v>
      </c>
      <c r="T248" s="27" t="s">
        <v>95</v>
      </c>
      <c r="U248" t="s">
        <v>95</v>
      </c>
      <c r="V248" t="s">
        <v>95</v>
      </c>
      <c r="W248" s="23" t="s">
        <v>95</v>
      </c>
      <c r="X248" s="23" t="s">
        <v>95</v>
      </c>
      <c r="Y248" t="s">
        <v>95</v>
      </c>
    </row>
    <row r="249" spans="1:25" x14ac:dyDescent="0.2">
      <c r="A249" s="15"/>
      <c r="B249" s="15" t="s">
        <v>97</v>
      </c>
      <c r="C249" s="15" t="s">
        <v>106</v>
      </c>
      <c r="D249" s="15" t="s">
        <v>134</v>
      </c>
      <c r="E249" t="s">
        <v>708</v>
      </c>
      <c r="F249" s="19">
        <v>45962</v>
      </c>
      <c r="G249" s="19">
        <v>46022</v>
      </c>
      <c r="H249" s="16" t="s">
        <v>70</v>
      </c>
      <c r="I249" s="15" t="s">
        <v>28</v>
      </c>
      <c r="J249" s="2" t="s">
        <v>30</v>
      </c>
      <c r="K249" t="s">
        <v>948</v>
      </c>
      <c r="L249" s="32"/>
      <c r="M249" s="15"/>
      <c r="N249" s="15"/>
      <c r="O249">
        <v>0</v>
      </c>
      <c r="P249" t="s">
        <v>951</v>
      </c>
      <c r="Q249" t="s">
        <v>95</v>
      </c>
      <c r="R249" s="27" t="s">
        <v>95</v>
      </c>
      <c r="S249" s="27" t="s">
        <v>95</v>
      </c>
      <c r="T249" s="27" t="s">
        <v>95</v>
      </c>
      <c r="U249" t="s">
        <v>95</v>
      </c>
      <c r="V249" t="s">
        <v>95</v>
      </c>
      <c r="W249" s="23" t="s">
        <v>95</v>
      </c>
      <c r="X249" s="23" t="s">
        <v>95</v>
      </c>
      <c r="Y249" t="s">
        <v>95</v>
      </c>
    </row>
    <row r="250" spans="1:25" x14ac:dyDescent="0.2">
      <c r="A250" s="15"/>
      <c r="B250" s="15" t="s">
        <v>97</v>
      </c>
      <c r="C250" s="15" t="s">
        <v>106</v>
      </c>
      <c r="D250" s="15" t="s">
        <v>134</v>
      </c>
      <c r="E250" t="s">
        <v>709</v>
      </c>
      <c r="F250" s="19">
        <v>45962</v>
      </c>
      <c r="G250" s="19">
        <v>45991</v>
      </c>
      <c r="H250" s="16" t="s">
        <v>70</v>
      </c>
      <c r="I250" s="15" t="s">
        <v>28</v>
      </c>
      <c r="J250" s="2" t="s">
        <v>30</v>
      </c>
      <c r="K250" t="s">
        <v>948</v>
      </c>
      <c r="L250" s="32"/>
      <c r="M250" s="15"/>
      <c r="N250" s="15"/>
      <c r="O250">
        <v>0</v>
      </c>
      <c r="P250" t="s">
        <v>951</v>
      </c>
      <c r="Q250" t="s">
        <v>95</v>
      </c>
      <c r="R250" s="27" t="s">
        <v>95</v>
      </c>
      <c r="S250" s="27" t="s">
        <v>95</v>
      </c>
      <c r="T250" s="27" t="s">
        <v>95</v>
      </c>
      <c r="U250" t="s">
        <v>95</v>
      </c>
      <c r="V250" t="s">
        <v>95</v>
      </c>
      <c r="W250" s="23" t="s">
        <v>95</v>
      </c>
      <c r="X250" s="23" t="s">
        <v>95</v>
      </c>
      <c r="Y250" t="s">
        <v>95</v>
      </c>
    </row>
    <row r="251" spans="1:25" x14ac:dyDescent="0.2">
      <c r="A251" s="15"/>
      <c r="B251" s="15" t="s">
        <v>97</v>
      </c>
      <c r="C251" s="15" t="s">
        <v>106</v>
      </c>
      <c r="D251" s="15" t="s">
        <v>134</v>
      </c>
      <c r="E251" t="s">
        <v>710</v>
      </c>
      <c r="F251" s="19">
        <v>45962</v>
      </c>
      <c r="G251" s="19">
        <v>46023</v>
      </c>
      <c r="H251" s="16" t="s">
        <v>70</v>
      </c>
      <c r="I251" s="15" t="s">
        <v>28</v>
      </c>
      <c r="J251" s="2" t="s">
        <v>30</v>
      </c>
      <c r="K251" t="s">
        <v>948</v>
      </c>
      <c r="L251" s="32"/>
      <c r="M251" s="15"/>
      <c r="N251" s="15"/>
      <c r="O251">
        <v>0</v>
      </c>
      <c r="P251" t="s">
        <v>951</v>
      </c>
      <c r="Q251" t="s">
        <v>95</v>
      </c>
      <c r="R251" s="27" t="s">
        <v>95</v>
      </c>
      <c r="S251" s="27" t="s">
        <v>95</v>
      </c>
      <c r="T251" s="27" t="s">
        <v>95</v>
      </c>
      <c r="U251" t="s">
        <v>95</v>
      </c>
      <c r="V251" t="s">
        <v>95</v>
      </c>
      <c r="W251" s="23" t="s">
        <v>95</v>
      </c>
      <c r="X251" s="23" t="s">
        <v>95</v>
      </c>
      <c r="Y251" t="s">
        <v>95</v>
      </c>
    </row>
    <row r="252" spans="1:25" x14ac:dyDescent="0.2">
      <c r="B252" t="s">
        <v>97</v>
      </c>
      <c r="C252" t="s">
        <v>106</v>
      </c>
      <c r="D252" t="s">
        <v>134</v>
      </c>
      <c r="E252" t="s">
        <v>711</v>
      </c>
      <c r="F252" s="10">
        <v>45930</v>
      </c>
      <c r="G252" s="10">
        <v>46008</v>
      </c>
      <c r="H252" s="3" t="s">
        <v>70</v>
      </c>
      <c r="I252" t="s">
        <v>28</v>
      </c>
      <c r="J252" s="2" t="s">
        <v>30</v>
      </c>
      <c r="K252" t="s">
        <v>948</v>
      </c>
      <c r="O252">
        <v>0</v>
      </c>
      <c r="P252" t="s">
        <v>951</v>
      </c>
      <c r="Q252" t="s">
        <v>95</v>
      </c>
      <c r="R252" s="27" t="s">
        <v>95</v>
      </c>
      <c r="S252" s="27" t="s">
        <v>95</v>
      </c>
      <c r="T252" s="27" t="s">
        <v>95</v>
      </c>
      <c r="U252" t="s">
        <v>95</v>
      </c>
      <c r="V252" t="s">
        <v>95</v>
      </c>
      <c r="W252" s="23" t="s">
        <v>95</v>
      </c>
      <c r="X252" s="23" t="s">
        <v>95</v>
      </c>
      <c r="Y252" t="s">
        <v>95</v>
      </c>
    </row>
    <row r="253" spans="1:25" x14ac:dyDescent="0.2">
      <c r="B253" t="s">
        <v>97</v>
      </c>
      <c r="C253" t="s">
        <v>106</v>
      </c>
      <c r="D253" t="s">
        <v>134</v>
      </c>
      <c r="E253" t="s">
        <v>712</v>
      </c>
      <c r="F253" s="10">
        <v>45930</v>
      </c>
      <c r="G253" s="10">
        <v>46022</v>
      </c>
      <c r="H253" s="3" t="s">
        <v>70</v>
      </c>
      <c r="I253" t="s">
        <v>28</v>
      </c>
      <c r="J253" s="2" t="s">
        <v>30</v>
      </c>
      <c r="K253" t="s">
        <v>948</v>
      </c>
      <c r="O253">
        <v>0</v>
      </c>
      <c r="P253" t="s">
        <v>951</v>
      </c>
      <c r="Q253" t="s">
        <v>95</v>
      </c>
      <c r="R253" s="27" t="s">
        <v>95</v>
      </c>
      <c r="S253" s="27" t="s">
        <v>95</v>
      </c>
      <c r="T253" s="27" t="s">
        <v>95</v>
      </c>
      <c r="U253" t="s">
        <v>95</v>
      </c>
      <c r="V253" t="s">
        <v>95</v>
      </c>
      <c r="W253" s="23" t="s">
        <v>95</v>
      </c>
      <c r="X253" s="23" t="s">
        <v>95</v>
      </c>
      <c r="Y253" t="s">
        <v>95</v>
      </c>
    </row>
    <row r="254" spans="1:25" x14ac:dyDescent="0.2">
      <c r="B254" t="s">
        <v>97</v>
      </c>
      <c r="C254" t="s">
        <v>106</v>
      </c>
      <c r="D254" t="s">
        <v>134</v>
      </c>
      <c r="E254" t="s">
        <v>713</v>
      </c>
      <c r="F254" s="10">
        <v>45930</v>
      </c>
      <c r="G254" s="10">
        <v>46387</v>
      </c>
      <c r="H254" s="3" t="s">
        <v>70</v>
      </c>
      <c r="I254" t="s">
        <v>28</v>
      </c>
      <c r="J254" s="2" t="s">
        <v>30</v>
      </c>
      <c r="K254" t="s">
        <v>948</v>
      </c>
      <c r="M254" t="s">
        <v>121</v>
      </c>
      <c r="O254">
        <v>192738.42</v>
      </c>
      <c r="P254" t="s">
        <v>951</v>
      </c>
      <c r="Q254" t="s">
        <v>95</v>
      </c>
      <c r="R254" s="27" t="s">
        <v>95</v>
      </c>
      <c r="S254" s="27" t="s">
        <v>95</v>
      </c>
      <c r="T254" s="27" t="s">
        <v>95</v>
      </c>
      <c r="U254" t="s">
        <v>95</v>
      </c>
      <c r="V254" t="s">
        <v>95</v>
      </c>
      <c r="W254" s="23" t="s">
        <v>95</v>
      </c>
      <c r="X254" s="23" t="s">
        <v>95</v>
      </c>
      <c r="Y254" t="s">
        <v>95</v>
      </c>
    </row>
    <row r="255" spans="1:25" x14ac:dyDescent="0.2">
      <c r="B255" t="s">
        <v>97</v>
      </c>
      <c r="C255" t="s">
        <v>106</v>
      </c>
      <c r="D255" t="s">
        <v>134</v>
      </c>
      <c r="E255" t="s">
        <v>714</v>
      </c>
      <c r="F255" s="10">
        <v>45930</v>
      </c>
      <c r="G255" s="10">
        <v>46022</v>
      </c>
      <c r="H255" s="3" t="s">
        <v>70</v>
      </c>
      <c r="I255" t="s">
        <v>28</v>
      </c>
      <c r="J255" s="2" t="s">
        <v>30</v>
      </c>
      <c r="K255" t="s">
        <v>948</v>
      </c>
      <c r="O255">
        <v>0</v>
      </c>
      <c r="P255" t="s">
        <v>951</v>
      </c>
      <c r="Q255" t="s">
        <v>95</v>
      </c>
      <c r="R255" s="27" t="s">
        <v>95</v>
      </c>
      <c r="S255" s="27" t="s">
        <v>95</v>
      </c>
      <c r="T255" s="27" t="s">
        <v>95</v>
      </c>
      <c r="U255" t="s">
        <v>95</v>
      </c>
      <c r="V255" t="s">
        <v>95</v>
      </c>
      <c r="W255" s="23" t="s">
        <v>95</v>
      </c>
      <c r="X255" s="23" t="s">
        <v>95</v>
      </c>
      <c r="Y255" t="s">
        <v>95</v>
      </c>
    </row>
    <row r="256" spans="1:25" x14ac:dyDescent="0.2">
      <c r="B256" t="s">
        <v>97</v>
      </c>
      <c r="C256" t="s">
        <v>106</v>
      </c>
      <c r="D256" t="s">
        <v>134</v>
      </c>
      <c r="E256" t="s">
        <v>715</v>
      </c>
      <c r="F256" s="10">
        <v>45930</v>
      </c>
      <c r="G256" s="10">
        <v>46022</v>
      </c>
      <c r="H256" s="3" t="s">
        <v>70</v>
      </c>
      <c r="I256" t="s">
        <v>28</v>
      </c>
      <c r="J256" s="2" t="s">
        <v>30</v>
      </c>
      <c r="K256" t="s">
        <v>948</v>
      </c>
      <c r="O256">
        <v>0</v>
      </c>
      <c r="P256" t="s">
        <v>951</v>
      </c>
      <c r="Q256" t="s">
        <v>95</v>
      </c>
      <c r="R256" s="27" t="s">
        <v>95</v>
      </c>
      <c r="S256" s="27" t="s">
        <v>95</v>
      </c>
      <c r="T256" s="27" t="s">
        <v>95</v>
      </c>
      <c r="U256" t="s">
        <v>95</v>
      </c>
      <c r="V256" t="s">
        <v>95</v>
      </c>
      <c r="W256" s="23" t="s">
        <v>95</v>
      </c>
      <c r="X256" s="23" t="s">
        <v>95</v>
      </c>
      <c r="Y256" t="s">
        <v>95</v>
      </c>
    </row>
    <row r="257" spans="1:25" x14ac:dyDescent="0.2">
      <c r="B257" t="s">
        <v>97</v>
      </c>
      <c r="C257" t="s">
        <v>106</v>
      </c>
      <c r="D257" t="s">
        <v>134</v>
      </c>
      <c r="E257" t="s">
        <v>716</v>
      </c>
      <c r="F257" s="10">
        <v>45930</v>
      </c>
      <c r="G257" s="10">
        <v>46022</v>
      </c>
      <c r="H257" s="3" t="s">
        <v>70</v>
      </c>
      <c r="I257" t="s">
        <v>28</v>
      </c>
      <c r="J257" s="2" t="s">
        <v>30</v>
      </c>
      <c r="K257" t="s">
        <v>948</v>
      </c>
      <c r="O257">
        <v>0</v>
      </c>
      <c r="P257" t="s">
        <v>951</v>
      </c>
      <c r="Q257" t="s">
        <v>95</v>
      </c>
      <c r="R257" s="27" t="s">
        <v>95</v>
      </c>
      <c r="S257" s="27" t="s">
        <v>95</v>
      </c>
      <c r="T257" s="27" t="s">
        <v>95</v>
      </c>
      <c r="U257" t="s">
        <v>95</v>
      </c>
      <c r="V257" t="s">
        <v>95</v>
      </c>
      <c r="W257" s="23" t="s">
        <v>95</v>
      </c>
      <c r="X257" s="23" t="s">
        <v>95</v>
      </c>
      <c r="Y257" t="s">
        <v>374</v>
      </c>
    </row>
    <row r="258" spans="1:25" x14ac:dyDescent="0.2">
      <c r="B258" t="s">
        <v>97</v>
      </c>
      <c r="C258" t="s">
        <v>106</v>
      </c>
      <c r="D258" t="s">
        <v>134</v>
      </c>
      <c r="E258" t="s">
        <v>717</v>
      </c>
      <c r="H258" s="3" t="s">
        <v>70</v>
      </c>
      <c r="I258" t="s">
        <v>28</v>
      </c>
      <c r="J258" s="2" t="s">
        <v>30</v>
      </c>
      <c r="K258" t="s">
        <v>948</v>
      </c>
      <c r="O258">
        <v>0</v>
      </c>
      <c r="P258" t="s">
        <v>951</v>
      </c>
      <c r="Q258" t="s">
        <v>95</v>
      </c>
      <c r="R258" s="27" t="s">
        <v>95</v>
      </c>
      <c r="S258" s="27" t="s">
        <v>95</v>
      </c>
      <c r="T258" s="27" t="s">
        <v>95</v>
      </c>
      <c r="U258" t="s">
        <v>95</v>
      </c>
      <c r="V258" t="s">
        <v>95</v>
      </c>
      <c r="W258" s="23" t="s">
        <v>95</v>
      </c>
      <c r="X258" s="23" t="s">
        <v>95</v>
      </c>
      <c r="Y258" t="s">
        <v>95</v>
      </c>
    </row>
    <row r="259" spans="1:25" x14ac:dyDescent="0.2">
      <c r="B259" t="s">
        <v>97</v>
      </c>
      <c r="C259" t="s">
        <v>106</v>
      </c>
      <c r="D259" t="s">
        <v>134</v>
      </c>
      <c r="E259" t="s">
        <v>718</v>
      </c>
      <c r="F259" s="10">
        <v>45930</v>
      </c>
      <c r="G259" s="10">
        <v>46082</v>
      </c>
      <c r="H259" s="3" t="s">
        <v>70</v>
      </c>
      <c r="I259" t="s">
        <v>28</v>
      </c>
      <c r="J259" s="2" t="s">
        <v>30</v>
      </c>
      <c r="K259" t="s">
        <v>948</v>
      </c>
      <c r="M259" t="s">
        <v>121</v>
      </c>
      <c r="O259">
        <v>192738.42</v>
      </c>
      <c r="P259" t="s">
        <v>951</v>
      </c>
      <c r="Q259" t="s">
        <v>95</v>
      </c>
      <c r="R259" s="27" t="s">
        <v>95</v>
      </c>
      <c r="S259" s="27" t="s">
        <v>95</v>
      </c>
      <c r="T259" s="27" t="s">
        <v>95</v>
      </c>
      <c r="U259" t="s">
        <v>95</v>
      </c>
      <c r="V259" t="s">
        <v>95</v>
      </c>
      <c r="W259" s="23" t="s">
        <v>95</v>
      </c>
      <c r="X259" s="23" t="s">
        <v>95</v>
      </c>
      <c r="Y259" t="s">
        <v>375</v>
      </c>
    </row>
    <row r="260" spans="1:25" x14ac:dyDescent="0.2">
      <c r="B260" t="s">
        <v>97</v>
      </c>
      <c r="C260" t="s">
        <v>106</v>
      </c>
      <c r="D260" t="s">
        <v>134</v>
      </c>
      <c r="E260" t="s">
        <v>719</v>
      </c>
      <c r="F260" s="10">
        <v>45930</v>
      </c>
      <c r="G260" s="10">
        <v>46022</v>
      </c>
      <c r="H260" s="3" t="s">
        <v>70</v>
      </c>
      <c r="I260" t="s">
        <v>28</v>
      </c>
      <c r="J260" s="2" t="s">
        <v>30</v>
      </c>
      <c r="K260" t="s">
        <v>948</v>
      </c>
      <c r="O260">
        <v>0</v>
      </c>
      <c r="P260" t="s">
        <v>951</v>
      </c>
      <c r="Q260" t="s">
        <v>95</v>
      </c>
      <c r="R260" s="27" t="s">
        <v>95</v>
      </c>
      <c r="S260" s="27" t="s">
        <v>95</v>
      </c>
      <c r="T260" s="27" t="s">
        <v>95</v>
      </c>
      <c r="U260" t="s">
        <v>95</v>
      </c>
      <c r="V260" t="s">
        <v>95</v>
      </c>
      <c r="W260" s="23" t="s">
        <v>95</v>
      </c>
      <c r="X260" s="23" t="s">
        <v>95</v>
      </c>
      <c r="Y260" t="s">
        <v>472</v>
      </c>
    </row>
    <row r="261" spans="1:25" x14ac:dyDescent="0.2">
      <c r="B261" t="s">
        <v>97</v>
      </c>
      <c r="C261" t="s">
        <v>106</v>
      </c>
      <c r="D261" t="s">
        <v>134</v>
      </c>
      <c r="E261" t="e">
        <v>#N/A</v>
      </c>
      <c r="F261" s="10">
        <v>45930</v>
      </c>
      <c r="G261" s="10">
        <v>46022</v>
      </c>
      <c r="H261" s="3" t="s">
        <v>70</v>
      </c>
      <c r="I261" t="s">
        <v>28</v>
      </c>
      <c r="J261" s="2" t="s">
        <v>30</v>
      </c>
      <c r="K261" t="s">
        <v>948</v>
      </c>
      <c r="O261">
        <v>0</v>
      </c>
      <c r="P261" t="s">
        <v>951</v>
      </c>
      <c r="Q261" t="s">
        <v>95</v>
      </c>
      <c r="R261" s="27" t="s">
        <v>95</v>
      </c>
      <c r="S261" s="27" t="s">
        <v>95</v>
      </c>
      <c r="T261" s="27" t="s">
        <v>95</v>
      </c>
      <c r="U261" t="s">
        <v>95</v>
      </c>
      <c r="V261" t="s">
        <v>95</v>
      </c>
      <c r="W261" s="23" t="s">
        <v>95</v>
      </c>
      <c r="X261" s="23" t="s">
        <v>95</v>
      </c>
      <c r="Y261" t="s">
        <v>95</v>
      </c>
    </row>
    <row r="262" spans="1:25" x14ac:dyDescent="0.2">
      <c r="B262" t="s">
        <v>23</v>
      </c>
      <c r="C262" t="s">
        <v>203</v>
      </c>
      <c r="D262" t="s">
        <v>129</v>
      </c>
      <c r="E262" t="s">
        <v>756</v>
      </c>
      <c r="F262" s="10">
        <v>45962</v>
      </c>
      <c r="G262" s="10">
        <v>46008</v>
      </c>
      <c r="H262" s="3" t="s">
        <v>137</v>
      </c>
      <c r="I262" t="s">
        <v>28</v>
      </c>
      <c r="J262" s="2" t="s">
        <v>30</v>
      </c>
      <c r="K262" t="s">
        <v>948</v>
      </c>
      <c r="L262" s="31">
        <v>1</v>
      </c>
      <c r="M262" t="s">
        <v>121</v>
      </c>
      <c r="N262" t="s">
        <v>228</v>
      </c>
      <c r="O262" s="12">
        <v>192738.42</v>
      </c>
      <c r="P262" s="12" t="s">
        <v>951</v>
      </c>
      <c r="Q262" s="20" t="s">
        <v>95</v>
      </c>
      <c r="R262" s="11" t="s">
        <v>95</v>
      </c>
      <c r="S262" s="11" t="s">
        <v>95</v>
      </c>
      <c r="T262" s="12" t="s">
        <v>95</v>
      </c>
      <c r="U262" s="12" t="s">
        <v>95</v>
      </c>
      <c r="V262" s="12" t="s">
        <v>95</v>
      </c>
      <c r="W262" s="21" t="s">
        <v>95</v>
      </c>
      <c r="X262" s="21">
        <v>0.27608748713747122</v>
      </c>
      <c r="Y262" t="s">
        <v>474</v>
      </c>
    </row>
    <row r="263" spans="1:25" x14ac:dyDescent="0.2">
      <c r="A263" t="s">
        <v>202</v>
      </c>
      <c r="B263" t="s">
        <v>23</v>
      </c>
      <c r="C263" t="s">
        <v>203</v>
      </c>
      <c r="D263" t="s">
        <v>204</v>
      </c>
      <c r="E263" t="s">
        <v>757</v>
      </c>
      <c r="F263" s="10">
        <v>45747</v>
      </c>
      <c r="G263" s="10">
        <v>45961</v>
      </c>
      <c r="H263" s="3" t="s">
        <v>196</v>
      </c>
      <c r="I263" t="s">
        <v>28</v>
      </c>
      <c r="J263" s="2" t="s">
        <v>30</v>
      </c>
      <c r="K263" t="s">
        <v>948</v>
      </c>
      <c r="O263" s="12">
        <v>0</v>
      </c>
      <c r="P263" s="12">
        <v>5084068.2474551983</v>
      </c>
      <c r="Q263" s="13" t="s">
        <v>95</v>
      </c>
      <c r="R263" s="11">
        <v>7</v>
      </c>
      <c r="S263" s="11">
        <v>32</v>
      </c>
      <c r="T263" s="12">
        <v>306210.24745519797</v>
      </c>
      <c r="U263" s="12">
        <v>1404134</v>
      </c>
      <c r="V263" s="12">
        <v>1097923.7525448021</v>
      </c>
      <c r="W263" s="13">
        <v>0.21875</v>
      </c>
      <c r="X263" s="23">
        <v>9.1212263676270597E-2</v>
      </c>
      <c r="Y263" t="s">
        <v>477</v>
      </c>
    </row>
    <row r="264" spans="1:25" x14ac:dyDescent="0.2">
      <c r="A264" t="s">
        <v>205</v>
      </c>
      <c r="B264" t="s">
        <v>23</v>
      </c>
      <c r="C264" t="s">
        <v>203</v>
      </c>
      <c r="D264" t="s">
        <v>204</v>
      </c>
      <c r="E264" t="s">
        <v>758</v>
      </c>
      <c r="F264" s="10">
        <v>45747</v>
      </c>
      <c r="G264" s="10">
        <v>46112</v>
      </c>
      <c r="H264" s="3" t="s">
        <v>206</v>
      </c>
      <c r="I264" t="s">
        <v>28</v>
      </c>
      <c r="J264" s="2" t="s">
        <v>30</v>
      </c>
      <c r="K264" t="s">
        <v>948</v>
      </c>
      <c r="O264" s="12">
        <v>0</v>
      </c>
      <c r="P264" s="12">
        <v>848304</v>
      </c>
      <c r="Q264" s="13" t="s">
        <v>95</v>
      </c>
      <c r="R264" s="11">
        <v>5</v>
      </c>
      <c r="S264" s="11">
        <v>68</v>
      </c>
      <c r="T264" s="12">
        <v>271948.34832204407</v>
      </c>
      <c r="U264" s="12">
        <v>3725320</v>
      </c>
      <c r="V264" s="12">
        <v>3453371.6516779559</v>
      </c>
      <c r="W264" s="13">
        <v>7.3529411764705885E-2</v>
      </c>
      <c r="X264" s="23">
        <v>0.29397553545858263</v>
      </c>
      <c r="Y264" t="s">
        <v>477</v>
      </c>
    </row>
    <row r="265" spans="1:25" x14ac:dyDescent="0.2">
      <c r="A265" t="s">
        <v>207</v>
      </c>
      <c r="B265" t="s">
        <v>23</v>
      </c>
      <c r="C265" t="s">
        <v>203</v>
      </c>
      <c r="D265" t="s">
        <v>204</v>
      </c>
      <c r="E265" t="s">
        <v>759</v>
      </c>
      <c r="F265" s="10">
        <v>45382</v>
      </c>
      <c r="G265" s="10">
        <v>45930</v>
      </c>
      <c r="H265" s="3" t="s">
        <v>70</v>
      </c>
      <c r="I265" t="s">
        <v>28</v>
      </c>
      <c r="J265" s="2" t="s">
        <v>30</v>
      </c>
      <c r="K265" t="s">
        <v>948</v>
      </c>
      <c r="O265" s="12">
        <v>403778</v>
      </c>
      <c r="P265" s="12">
        <v>371292</v>
      </c>
      <c r="Q265" s="13">
        <v>-8.0455101565711853E-2</v>
      </c>
      <c r="R265" s="11" t="s">
        <v>95</v>
      </c>
      <c r="S265" s="11">
        <v>0</v>
      </c>
      <c r="T265" s="12">
        <v>0</v>
      </c>
      <c r="U265" s="12">
        <v>0</v>
      </c>
      <c r="V265" s="12">
        <v>0</v>
      </c>
      <c r="W265" s="13" t="s">
        <v>95</v>
      </c>
      <c r="X265" s="21" t="s">
        <v>95</v>
      </c>
      <c r="Y265" t="s">
        <v>477</v>
      </c>
    </row>
    <row r="266" spans="1:25" x14ac:dyDescent="0.2">
      <c r="A266" t="s">
        <v>208</v>
      </c>
      <c r="B266" t="s">
        <v>23</v>
      </c>
      <c r="C266" t="s">
        <v>203</v>
      </c>
      <c r="D266" t="s">
        <v>204</v>
      </c>
      <c r="E266" t="s">
        <v>760</v>
      </c>
      <c r="F266" s="10">
        <v>46022</v>
      </c>
      <c r="G266" s="10">
        <v>46112</v>
      </c>
      <c r="H266" s="3" t="s">
        <v>206</v>
      </c>
      <c r="I266" t="s">
        <v>28</v>
      </c>
      <c r="J266" s="2" t="s">
        <v>30</v>
      </c>
      <c r="K266" t="s">
        <v>948</v>
      </c>
      <c r="O266" s="12">
        <v>0</v>
      </c>
      <c r="P266" s="12">
        <v>1413840</v>
      </c>
      <c r="Q266" s="20" t="s">
        <v>95</v>
      </c>
      <c r="R266" s="11">
        <v>25</v>
      </c>
      <c r="S266" s="11">
        <v>227</v>
      </c>
      <c r="T266" s="12">
        <v>1365525.1281321668</v>
      </c>
      <c r="U266" s="12">
        <v>12417733</v>
      </c>
      <c r="V266" s="12">
        <v>11052207.871867834</v>
      </c>
      <c r="W266" s="21">
        <v>0.11013215859030837</v>
      </c>
      <c r="X266" s="21">
        <v>0.29397553545858263</v>
      </c>
      <c r="Y266" t="s">
        <v>95</v>
      </c>
    </row>
    <row r="267" spans="1:25" ht="16" x14ac:dyDescent="0.2">
      <c r="A267" s="1" t="s">
        <v>209</v>
      </c>
      <c r="B267" t="s">
        <v>210</v>
      </c>
      <c r="C267" t="s">
        <v>203</v>
      </c>
      <c r="D267" t="s">
        <v>211</v>
      </c>
      <c r="E267" t="s">
        <v>761</v>
      </c>
      <c r="F267" s="10">
        <v>45809</v>
      </c>
      <c r="G267" s="10">
        <v>45992</v>
      </c>
      <c r="H267" s="3" t="s">
        <v>139</v>
      </c>
      <c r="I267" t="s">
        <v>28</v>
      </c>
      <c r="J267" s="2" t="s">
        <v>30</v>
      </c>
      <c r="K267" t="s">
        <v>948</v>
      </c>
      <c r="L267" s="31">
        <v>4.0666666666666664</v>
      </c>
      <c r="N267" t="s">
        <v>213</v>
      </c>
      <c r="O267" s="12">
        <v>385000</v>
      </c>
      <c r="P267" s="12">
        <v>5171396.1633857843</v>
      </c>
      <c r="Q267" s="13">
        <v>12.432197826976063</v>
      </c>
      <c r="R267" s="11">
        <v>23</v>
      </c>
      <c r="S267" s="11">
        <v>77</v>
      </c>
      <c r="T267" s="12">
        <v>1321396.163385784</v>
      </c>
      <c r="U267" s="12">
        <v>4404654</v>
      </c>
      <c r="V267" s="12">
        <v>3083257.8366142157</v>
      </c>
      <c r="W267" s="13">
        <v>0.29870129870129869</v>
      </c>
      <c r="X267" s="21">
        <v>0.44084891187851694</v>
      </c>
      <c r="Y267" t="s">
        <v>95</v>
      </c>
    </row>
    <row r="268" spans="1:25" x14ac:dyDescent="0.2">
      <c r="A268" t="s">
        <v>214</v>
      </c>
      <c r="B268" t="s">
        <v>210</v>
      </c>
      <c r="C268" t="s">
        <v>203</v>
      </c>
      <c r="D268" t="s">
        <v>211</v>
      </c>
      <c r="E268" t="s">
        <v>762</v>
      </c>
      <c r="F268" s="10">
        <v>45809</v>
      </c>
      <c r="G268" s="10">
        <v>45961</v>
      </c>
      <c r="H268" s="3" t="s">
        <v>216</v>
      </c>
      <c r="I268" t="s">
        <v>28</v>
      </c>
      <c r="J268" s="2" t="s">
        <v>30</v>
      </c>
      <c r="K268" t="s">
        <v>948</v>
      </c>
      <c r="L268" s="31">
        <v>5.0666666666666664</v>
      </c>
      <c r="N268" t="s">
        <v>217</v>
      </c>
      <c r="O268" s="12">
        <v>385000</v>
      </c>
      <c r="P268" s="12">
        <v>2211044.1237252071</v>
      </c>
      <c r="Q268" s="13">
        <v>4.7429717499356023</v>
      </c>
      <c r="R268" s="11">
        <v>2</v>
      </c>
      <c r="S268" s="11">
        <v>122</v>
      </c>
      <c r="T268" s="12">
        <v>83290.12372520694</v>
      </c>
      <c r="U268" s="12">
        <v>5552675</v>
      </c>
      <c r="V268" s="12">
        <v>5469384.8762747934</v>
      </c>
      <c r="W268" s="13">
        <v>1.6393442622950821E-2</v>
      </c>
      <c r="X268" s="21">
        <v>0.49613900866607147</v>
      </c>
      <c r="Y268" t="s">
        <v>95</v>
      </c>
    </row>
    <row r="269" spans="1:25" x14ac:dyDescent="0.2">
      <c r="B269" t="s">
        <v>210</v>
      </c>
      <c r="C269" t="s">
        <v>203</v>
      </c>
      <c r="D269" t="s">
        <v>211</v>
      </c>
      <c r="E269" t="s">
        <v>763</v>
      </c>
      <c r="F269" s="10">
        <v>45962</v>
      </c>
      <c r="G269" s="10">
        <v>46022</v>
      </c>
      <c r="H269" s="3" t="s">
        <v>216</v>
      </c>
      <c r="I269" s="33" t="s">
        <v>28</v>
      </c>
      <c r="J269" s="2" t="s">
        <v>30</v>
      </c>
      <c r="K269" t="s">
        <v>948</v>
      </c>
      <c r="L269" s="31">
        <v>2</v>
      </c>
      <c r="M269" t="s">
        <v>49</v>
      </c>
      <c r="N269" t="s">
        <v>217</v>
      </c>
      <c r="O269" s="12">
        <v>385476.85</v>
      </c>
      <c r="P269" s="12" t="s">
        <v>951</v>
      </c>
      <c r="Q269" s="13" t="s">
        <v>95</v>
      </c>
      <c r="R269" s="11" t="s">
        <v>95</v>
      </c>
      <c r="S269" s="11" t="s">
        <v>95</v>
      </c>
      <c r="T269" s="12" t="s">
        <v>95</v>
      </c>
      <c r="U269" s="12" t="s">
        <v>95</v>
      </c>
      <c r="V269" s="12" t="s">
        <v>95</v>
      </c>
      <c r="W269" s="13" t="s">
        <v>95</v>
      </c>
      <c r="X269" s="21">
        <v>0.49613900866607147</v>
      </c>
      <c r="Y269" t="s">
        <v>95</v>
      </c>
    </row>
    <row r="270" spans="1:25" x14ac:dyDescent="0.2">
      <c r="B270" t="s">
        <v>23</v>
      </c>
      <c r="C270" t="s">
        <v>203</v>
      </c>
      <c r="D270" t="s">
        <v>129</v>
      </c>
      <c r="E270" t="s">
        <v>764</v>
      </c>
      <c r="F270" s="10">
        <v>45901</v>
      </c>
      <c r="G270" s="10">
        <v>45991</v>
      </c>
      <c r="H270" s="3" t="s">
        <v>137</v>
      </c>
      <c r="I270" t="s">
        <v>28</v>
      </c>
      <c r="J270" s="2" t="s">
        <v>30</v>
      </c>
      <c r="K270" t="s">
        <v>948</v>
      </c>
      <c r="M270" t="s">
        <v>57</v>
      </c>
      <c r="N270" t="s">
        <v>254</v>
      </c>
      <c r="O270" s="12">
        <v>770953.69</v>
      </c>
      <c r="P270" s="12" t="s">
        <v>951</v>
      </c>
      <c r="Q270" s="20" t="s">
        <v>95</v>
      </c>
      <c r="R270" s="11" t="s">
        <v>95</v>
      </c>
      <c r="S270" s="11" t="s">
        <v>95</v>
      </c>
      <c r="T270" s="12" t="s">
        <v>95</v>
      </c>
      <c r="U270" s="12" t="s">
        <v>95</v>
      </c>
      <c r="V270" s="12" t="s">
        <v>95</v>
      </c>
      <c r="W270" s="21" t="s">
        <v>95</v>
      </c>
      <c r="X270" s="21">
        <v>0.27608748713747122</v>
      </c>
      <c r="Y270" t="s">
        <v>95</v>
      </c>
    </row>
    <row r="271" spans="1:25" x14ac:dyDescent="0.2">
      <c r="A271" t="s">
        <v>231</v>
      </c>
      <c r="B271" t="s">
        <v>23</v>
      </c>
      <c r="C271" t="s">
        <v>203</v>
      </c>
      <c r="D271" t="s">
        <v>129</v>
      </c>
      <c r="E271" t="s">
        <v>765</v>
      </c>
      <c r="F271" s="10">
        <v>45566</v>
      </c>
      <c r="G271" s="10">
        <v>45992</v>
      </c>
      <c r="H271" s="3" t="s">
        <v>137</v>
      </c>
      <c r="I271" t="s">
        <v>28</v>
      </c>
      <c r="J271" s="2" t="s">
        <v>30</v>
      </c>
      <c r="K271" t="s">
        <v>948</v>
      </c>
      <c r="L271" s="31">
        <v>14.2</v>
      </c>
      <c r="N271" t="s">
        <v>232</v>
      </c>
      <c r="O271" s="12">
        <v>672727</v>
      </c>
      <c r="P271" s="12">
        <v>917900</v>
      </c>
      <c r="Q271" s="20">
        <v>0.36444649909993204</v>
      </c>
      <c r="R271" s="11">
        <v>8</v>
      </c>
      <c r="S271" s="11">
        <v>29</v>
      </c>
      <c r="T271" s="12">
        <v>303356.12341053149</v>
      </c>
      <c r="U271" s="12">
        <v>1155767</v>
      </c>
      <c r="V271" s="12">
        <v>852410.87658946845</v>
      </c>
      <c r="W271" s="21">
        <v>0.27586206896551724</v>
      </c>
      <c r="X271" s="21">
        <v>0.27608748713747122</v>
      </c>
      <c r="Y271" t="s">
        <v>95</v>
      </c>
    </row>
    <row r="272" spans="1:25" x14ac:dyDescent="0.2">
      <c r="A272" t="s">
        <v>275</v>
      </c>
      <c r="B272" t="s">
        <v>23</v>
      </c>
      <c r="C272" t="s">
        <v>203</v>
      </c>
      <c r="D272" t="s">
        <v>129</v>
      </c>
      <c r="E272" t="s">
        <v>766</v>
      </c>
      <c r="H272" s="3" t="s">
        <v>137</v>
      </c>
      <c r="I272" t="s">
        <v>28</v>
      </c>
      <c r="J272" s="2" t="s">
        <v>30</v>
      </c>
      <c r="K272" t="s">
        <v>948</v>
      </c>
      <c r="L272" s="31">
        <v>0</v>
      </c>
      <c r="O272" s="12">
        <v>385477</v>
      </c>
      <c r="P272" s="12">
        <v>162314.86792095931</v>
      </c>
      <c r="Q272" s="20">
        <v>-0.57892463643496417</v>
      </c>
      <c r="R272" s="11" t="s">
        <v>95</v>
      </c>
      <c r="S272" s="11">
        <v>0</v>
      </c>
      <c r="T272" s="12">
        <v>0</v>
      </c>
      <c r="U272" s="12">
        <v>0</v>
      </c>
      <c r="V272" s="12">
        <v>0</v>
      </c>
      <c r="W272" s="21" t="s">
        <v>95</v>
      </c>
      <c r="X272" s="21">
        <v>0.27608748713747122</v>
      </c>
      <c r="Y272" t="s">
        <v>95</v>
      </c>
    </row>
    <row r="273" spans="1:25" x14ac:dyDescent="0.2">
      <c r="A273" t="s">
        <v>277</v>
      </c>
      <c r="B273" t="s">
        <v>23</v>
      </c>
      <c r="C273" t="s">
        <v>203</v>
      </c>
      <c r="D273" t="s">
        <v>129</v>
      </c>
      <c r="E273" t="s">
        <v>767</v>
      </c>
      <c r="F273" s="10">
        <v>45839</v>
      </c>
      <c r="G273" s="10">
        <v>45962</v>
      </c>
      <c r="H273" s="3" t="s">
        <v>137</v>
      </c>
      <c r="I273" t="s">
        <v>28</v>
      </c>
      <c r="J273" s="2" t="s">
        <v>30</v>
      </c>
      <c r="K273" t="s">
        <v>948</v>
      </c>
      <c r="L273" s="31">
        <v>4.0999999999999996</v>
      </c>
      <c r="N273" t="s">
        <v>250</v>
      </c>
      <c r="O273" s="12">
        <v>1766625</v>
      </c>
      <c r="P273" s="12">
        <v>743882.26415808138</v>
      </c>
      <c r="Q273" s="20">
        <v>-0.57892463643496417</v>
      </c>
      <c r="R273" s="11" t="s">
        <v>95</v>
      </c>
      <c r="S273" s="11">
        <v>0</v>
      </c>
      <c r="T273" s="12">
        <v>0</v>
      </c>
      <c r="U273" s="12">
        <v>0</v>
      </c>
      <c r="V273" s="12">
        <v>0</v>
      </c>
      <c r="W273" s="21" t="s">
        <v>95</v>
      </c>
      <c r="X273" s="21">
        <v>0.27608748713747122</v>
      </c>
      <c r="Y273" t="s">
        <v>95</v>
      </c>
    </row>
    <row r="274" spans="1:25" x14ac:dyDescent="0.2">
      <c r="A274" t="s">
        <v>279</v>
      </c>
      <c r="B274" t="s">
        <v>23</v>
      </c>
      <c r="C274" t="s">
        <v>280</v>
      </c>
      <c r="D274" t="s">
        <v>281</v>
      </c>
      <c r="E274" t="s">
        <v>792</v>
      </c>
      <c r="F274" s="10">
        <v>45747</v>
      </c>
      <c r="G274" s="10">
        <v>46387</v>
      </c>
      <c r="H274" s="3" t="s">
        <v>282</v>
      </c>
      <c r="I274" t="s">
        <v>28</v>
      </c>
      <c r="J274" s="2" t="s">
        <v>30</v>
      </c>
      <c r="K274" t="s">
        <v>948</v>
      </c>
      <c r="L274" s="31">
        <v>0</v>
      </c>
      <c r="O274" s="12">
        <v>0</v>
      </c>
      <c r="P274" s="12">
        <v>899376.51565436192</v>
      </c>
      <c r="Q274" s="20" t="s">
        <v>95</v>
      </c>
      <c r="R274" s="11">
        <v>17</v>
      </c>
      <c r="S274" s="11">
        <v>297</v>
      </c>
      <c r="T274" s="12">
        <v>899376.51565436192</v>
      </c>
      <c r="U274" s="12">
        <v>15778535</v>
      </c>
      <c r="V274" s="12">
        <v>14879158.484345637</v>
      </c>
      <c r="W274" s="21">
        <v>5.7239057239057242E-2</v>
      </c>
      <c r="X274" s="21">
        <v>6.6984216543474348E-2</v>
      </c>
      <c r="Y274" t="s">
        <v>95</v>
      </c>
    </row>
    <row r="275" spans="1:25" x14ac:dyDescent="0.2">
      <c r="A275" t="s">
        <v>279</v>
      </c>
      <c r="B275" t="s">
        <v>23</v>
      </c>
      <c r="C275" t="s">
        <v>280</v>
      </c>
      <c r="D275" t="s">
        <v>281</v>
      </c>
      <c r="E275" t="s">
        <v>793</v>
      </c>
      <c r="F275" s="10">
        <v>45747</v>
      </c>
      <c r="G275" s="10">
        <v>46387</v>
      </c>
      <c r="H275" s="3" t="s">
        <v>282</v>
      </c>
      <c r="I275" t="s">
        <v>28</v>
      </c>
      <c r="J275" s="2" t="s">
        <v>30</v>
      </c>
      <c r="K275" t="s">
        <v>948</v>
      </c>
      <c r="L275" s="31">
        <v>0</v>
      </c>
      <c r="O275" s="12">
        <v>0</v>
      </c>
      <c r="P275" s="12">
        <v>899376.51565436192</v>
      </c>
      <c r="Q275" s="20" t="s">
        <v>95</v>
      </c>
      <c r="R275" s="11">
        <v>17</v>
      </c>
      <c r="S275" s="11">
        <v>297</v>
      </c>
      <c r="T275" s="12">
        <v>899376.51565436192</v>
      </c>
      <c r="U275" s="12">
        <v>15778535</v>
      </c>
      <c r="V275" s="12">
        <v>14879158.484345637</v>
      </c>
      <c r="W275" s="21">
        <v>5.7239057239057242E-2</v>
      </c>
      <c r="X275" s="21">
        <v>6.6984216543474348E-2</v>
      </c>
      <c r="Y275" t="s">
        <v>95</v>
      </c>
    </row>
    <row r="276" spans="1:25" x14ac:dyDescent="0.2">
      <c r="A276" t="s">
        <v>279</v>
      </c>
      <c r="B276" t="s">
        <v>23</v>
      </c>
      <c r="C276" t="s">
        <v>280</v>
      </c>
      <c r="D276" t="s">
        <v>281</v>
      </c>
      <c r="E276" t="s">
        <v>794</v>
      </c>
      <c r="F276" s="10">
        <v>45747</v>
      </c>
      <c r="G276" s="10">
        <v>46387</v>
      </c>
      <c r="H276" s="3" t="s">
        <v>282</v>
      </c>
      <c r="I276" t="s">
        <v>28</v>
      </c>
      <c r="J276" s="2" t="s">
        <v>30</v>
      </c>
      <c r="K276" t="s">
        <v>948</v>
      </c>
      <c r="L276" s="31">
        <v>0</v>
      </c>
      <c r="O276" s="12">
        <v>0</v>
      </c>
      <c r="P276" s="12">
        <v>899376.51565436192</v>
      </c>
      <c r="Q276" s="20" t="s">
        <v>95</v>
      </c>
      <c r="R276" s="11">
        <v>17</v>
      </c>
      <c r="S276" s="11">
        <v>297</v>
      </c>
      <c r="T276" s="12">
        <v>899376.51565436192</v>
      </c>
      <c r="U276" s="12">
        <v>15778535</v>
      </c>
      <c r="V276" s="12">
        <v>14879158.484345637</v>
      </c>
      <c r="W276" s="21">
        <v>5.7239057239057242E-2</v>
      </c>
      <c r="X276" s="21">
        <v>6.6984216543474348E-2</v>
      </c>
      <c r="Y276" t="s">
        <v>367</v>
      </c>
    </row>
    <row r="277" spans="1:25" x14ac:dyDescent="0.2">
      <c r="A277" t="s">
        <v>279</v>
      </c>
      <c r="B277" t="s">
        <v>23</v>
      </c>
      <c r="C277" t="s">
        <v>280</v>
      </c>
      <c r="D277" t="s">
        <v>281</v>
      </c>
      <c r="E277" t="s">
        <v>795</v>
      </c>
      <c r="F277" s="10">
        <v>45747</v>
      </c>
      <c r="G277" s="10">
        <v>46387</v>
      </c>
      <c r="H277" s="3" t="s">
        <v>282</v>
      </c>
      <c r="I277" t="s">
        <v>28</v>
      </c>
      <c r="J277" s="2" t="s">
        <v>30</v>
      </c>
      <c r="K277" t="s">
        <v>948</v>
      </c>
      <c r="L277" s="31">
        <v>0</v>
      </c>
      <c r="O277" s="12">
        <v>0</v>
      </c>
      <c r="P277" s="12">
        <v>899376.51565436192</v>
      </c>
      <c r="Q277" s="20" t="s">
        <v>95</v>
      </c>
      <c r="R277" s="11">
        <v>17</v>
      </c>
      <c r="S277" s="11">
        <v>297</v>
      </c>
      <c r="T277" s="12">
        <v>899376.51565436192</v>
      </c>
      <c r="U277" s="12">
        <v>15778535</v>
      </c>
      <c r="V277" s="12">
        <v>14879158.484345637</v>
      </c>
      <c r="W277" s="21">
        <v>5.7239057239057242E-2</v>
      </c>
      <c r="X277" s="21">
        <v>6.6984216543474348E-2</v>
      </c>
      <c r="Y277" t="s">
        <v>95</v>
      </c>
    </row>
    <row r="278" spans="1:25" x14ac:dyDescent="0.2">
      <c r="A278" t="s">
        <v>279</v>
      </c>
      <c r="B278" t="s">
        <v>23</v>
      </c>
      <c r="C278" t="s">
        <v>280</v>
      </c>
      <c r="D278" t="s">
        <v>281</v>
      </c>
      <c r="E278" t="s">
        <v>796</v>
      </c>
      <c r="F278" s="10">
        <v>45747</v>
      </c>
      <c r="G278" s="10">
        <v>46387</v>
      </c>
      <c r="H278" s="3" t="s">
        <v>282</v>
      </c>
      <c r="I278" t="s">
        <v>28</v>
      </c>
      <c r="J278" s="2" t="s">
        <v>30</v>
      </c>
      <c r="K278" t="s">
        <v>948</v>
      </c>
      <c r="L278" s="31">
        <v>0</v>
      </c>
      <c r="O278" s="12">
        <v>0</v>
      </c>
      <c r="P278" s="12">
        <v>899376.51565436192</v>
      </c>
      <c r="Q278" s="20" t="s">
        <v>95</v>
      </c>
      <c r="R278" s="11">
        <v>17</v>
      </c>
      <c r="S278" s="11">
        <v>297</v>
      </c>
      <c r="T278" s="12">
        <v>899376.51565436192</v>
      </c>
      <c r="U278" s="12">
        <v>15778535</v>
      </c>
      <c r="V278" s="12">
        <v>14879158.484345637</v>
      </c>
      <c r="W278" s="21">
        <v>5.7239057239057242E-2</v>
      </c>
      <c r="X278" s="21">
        <v>6.6984216543474348E-2</v>
      </c>
      <c r="Y278" t="s">
        <v>407</v>
      </c>
    </row>
    <row r="279" spans="1:25" x14ac:dyDescent="0.2">
      <c r="A279" t="s">
        <v>279</v>
      </c>
      <c r="B279" t="s">
        <v>23</v>
      </c>
      <c r="C279" t="s">
        <v>280</v>
      </c>
      <c r="D279" t="s">
        <v>281</v>
      </c>
      <c r="E279" t="s">
        <v>797</v>
      </c>
      <c r="F279" s="10">
        <v>45747</v>
      </c>
      <c r="G279" s="10">
        <v>46387</v>
      </c>
      <c r="H279" s="3" t="s">
        <v>282</v>
      </c>
      <c r="I279" t="s">
        <v>28</v>
      </c>
      <c r="J279" s="2" t="s">
        <v>30</v>
      </c>
      <c r="K279" t="s">
        <v>948</v>
      </c>
      <c r="L279" s="31">
        <v>0</v>
      </c>
      <c r="O279" s="12">
        <v>0</v>
      </c>
      <c r="P279" s="12">
        <v>899376.51565436192</v>
      </c>
      <c r="Q279" s="20" t="s">
        <v>95</v>
      </c>
      <c r="R279" s="11">
        <v>17</v>
      </c>
      <c r="S279" s="11">
        <v>297</v>
      </c>
      <c r="T279" s="12">
        <v>899376.51565436192</v>
      </c>
      <c r="U279" s="12">
        <v>15778535</v>
      </c>
      <c r="V279" s="12">
        <v>14879158.484345637</v>
      </c>
      <c r="W279" s="21">
        <v>5.7239057239057242E-2</v>
      </c>
      <c r="X279" s="21">
        <v>6.6984216543474348E-2</v>
      </c>
      <c r="Y279" t="s">
        <v>455</v>
      </c>
    </row>
    <row r="280" spans="1:25" x14ac:dyDescent="0.2">
      <c r="A280" t="s">
        <v>279</v>
      </c>
      <c r="B280" t="s">
        <v>23</v>
      </c>
      <c r="C280" t="s">
        <v>280</v>
      </c>
      <c r="D280" t="s">
        <v>281</v>
      </c>
      <c r="E280" t="s">
        <v>798</v>
      </c>
      <c r="F280" s="10">
        <v>45747</v>
      </c>
      <c r="G280" s="10">
        <v>46387</v>
      </c>
      <c r="H280" s="3" t="s">
        <v>282</v>
      </c>
      <c r="I280" t="s">
        <v>28</v>
      </c>
      <c r="J280" s="2" t="s">
        <v>30</v>
      </c>
      <c r="K280" t="s">
        <v>948</v>
      </c>
      <c r="L280" s="31">
        <v>0</v>
      </c>
      <c r="O280" s="12">
        <v>0</v>
      </c>
      <c r="P280" s="12">
        <v>899376.51565436192</v>
      </c>
      <c r="Q280" s="20" t="s">
        <v>95</v>
      </c>
      <c r="R280" s="11">
        <v>17</v>
      </c>
      <c r="S280" s="11">
        <v>297</v>
      </c>
      <c r="T280" s="12">
        <v>899376.51565436192</v>
      </c>
      <c r="U280" s="12">
        <v>15778535</v>
      </c>
      <c r="V280" s="12">
        <v>14879158.484345637</v>
      </c>
      <c r="W280" s="21">
        <v>5.7239057239057242E-2</v>
      </c>
      <c r="X280" s="21">
        <v>6.6984216543474348E-2</v>
      </c>
      <c r="Y280" t="s">
        <v>95</v>
      </c>
    </row>
    <row r="281" spans="1:25" x14ac:dyDescent="0.2">
      <c r="A281" t="s">
        <v>279</v>
      </c>
      <c r="B281" t="s">
        <v>23</v>
      </c>
      <c r="C281" t="s">
        <v>280</v>
      </c>
      <c r="D281" t="s">
        <v>281</v>
      </c>
      <c r="E281" t="s">
        <v>799</v>
      </c>
      <c r="F281" s="10">
        <v>45658</v>
      </c>
      <c r="G281" s="10">
        <v>45961</v>
      </c>
      <c r="H281" s="3" t="s">
        <v>282</v>
      </c>
      <c r="I281" t="s">
        <v>28</v>
      </c>
      <c r="J281" s="2" t="s">
        <v>30</v>
      </c>
      <c r="K281" t="s">
        <v>948</v>
      </c>
      <c r="L281" s="31">
        <v>0</v>
      </c>
      <c r="O281" s="12">
        <v>0</v>
      </c>
      <c r="P281" s="12">
        <v>899376.51565436192</v>
      </c>
      <c r="Q281" s="20" t="s">
        <v>95</v>
      </c>
      <c r="R281" s="11">
        <v>17</v>
      </c>
      <c r="S281" s="11">
        <v>297</v>
      </c>
      <c r="T281" s="12">
        <v>899376.51565436192</v>
      </c>
      <c r="U281" s="12">
        <v>15778535</v>
      </c>
      <c r="V281" s="12">
        <v>14879158.484345637</v>
      </c>
      <c r="W281" s="21">
        <v>5.7239057239057242E-2</v>
      </c>
      <c r="X281" s="21">
        <v>6.6984216543474348E-2</v>
      </c>
      <c r="Y281" t="s">
        <v>95</v>
      </c>
    </row>
    <row r="282" spans="1:25" x14ac:dyDescent="0.2">
      <c r="A282" t="s">
        <v>283</v>
      </c>
      <c r="B282" t="s">
        <v>23</v>
      </c>
      <c r="C282" t="s">
        <v>280</v>
      </c>
      <c r="D282" t="s">
        <v>284</v>
      </c>
      <c r="E282" t="s">
        <v>800</v>
      </c>
      <c r="F282" s="10">
        <v>45657</v>
      </c>
      <c r="G282" s="10">
        <v>46022</v>
      </c>
      <c r="H282" s="3" t="s">
        <v>285</v>
      </c>
      <c r="I282" t="s">
        <v>28</v>
      </c>
      <c r="J282" s="2" t="s">
        <v>30</v>
      </c>
      <c r="K282" t="s">
        <v>948</v>
      </c>
      <c r="L282" s="31">
        <v>0</v>
      </c>
      <c r="O282" s="12">
        <v>1291926</v>
      </c>
      <c r="P282" s="12">
        <v>1304475.4144899417</v>
      </c>
      <c r="Q282" s="20">
        <v>9.7137254687510513E-3</v>
      </c>
      <c r="R282" s="11">
        <v>10</v>
      </c>
      <c r="S282" s="11">
        <v>43</v>
      </c>
      <c r="T282" s="12">
        <v>297275.41448994156</v>
      </c>
      <c r="U282" s="12">
        <v>1292502</v>
      </c>
      <c r="V282" s="12">
        <v>995226.58551005844</v>
      </c>
      <c r="W282" s="21">
        <v>0.23255813953488372</v>
      </c>
      <c r="X282" s="21">
        <v>0.17240075154380505</v>
      </c>
      <c r="Y282" t="s">
        <v>95</v>
      </c>
    </row>
    <row r="283" spans="1:25" x14ac:dyDescent="0.2">
      <c r="B283" t="s">
        <v>23</v>
      </c>
      <c r="C283" t="s">
        <v>280</v>
      </c>
      <c r="D283" t="s">
        <v>284</v>
      </c>
      <c r="E283" t="s">
        <v>801</v>
      </c>
      <c r="F283" s="10">
        <v>45747</v>
      </c>
      <c r="G283" s="10">
        <v>46387</v>
      </c>
      <c r="H283" s="3" t="s">
        <v>285</v>
      </c>
      <c r="I283" t="s">
        <v>28</v>
      </c>
      <c r="J283" s="2" t="s">
        <v>30</v>
      </c>
      <c r="K283" t="s">
        <v>948</v>
      </c>
      <c r="L283" s="31">
        <v>0</v>
      </c>
      <c r="O283" s="12">
        <v>0</v>
      </c>
      <c r="P283" s="12" t="s">
        <v>951</v>
      </c>
      <c r="Q283" s="20" t="s">
        <v>95</v>
      </c>
      <c r="R283" s="11" t="s">
        <v>95</v>
      </c>
      <c r="S283" s="11" t="s">
        <v>95</v>
      </c>
      <c r="T283" s="12" t="s">
        <v>95</v>
      </c>
      <c r="U283" s="12" t="s">
        <v>95</v>
      </c>
      <c r="V283" s="12" t="s">
        <v>95</v>
      </c>
      <c r="W283" s="21" t="s">
        <v>95</v>
      </c>
      <c r="X283" s="21">
        <v>0.17240075154380505</v>
      </c>
      <c r="Y283" t="s">
        <v>95</v>
      </c>
    </row>
    <row r="284" spans="1:25" x14ac:dyDescent="0.2">
      <c r="B284" t="s">
        <v>23</v>
      </c>
      <c r="C284" t="s">
        <v>280</v>
      </c>
      <c r="D284" t="s">
        <v>284</v>
      </c>
      <c r="E284" t="s">
        <v>802</v>
      </c>
      <c r="F284" s="10">
        <v>45747</v>
      </c>
      <c r="G284" s="10">
        <v>46387</v>
      </c>
      <c r="H284" s="3" t="s">
        <v>285</v>
      </c>
      <c r="I284" t="s">
        <v>28</v>
      </c>
      <c r="J284" s="2" t="s">
        <v>30</v>
      </c>
      <c r="K284" t="s">
        <v>948</v>
      </c>
      <c r="L284" s="31">
        <v>0</v>
      </c>
      <c r="O284" s="12">
        <v>0</v>
      </c>
      <c r="P284" s="12" t="s">
        <v>951</v>
      </c>
      <c r="Q284" s="13" t="s">
        <v>95</v>
      </c>
      <c r="R284" s="11" t="s">
        <v>95</v>
      </c>
      <c r="S284" s="11" t="s">
        <v>95</v>
      </c>
      <c r="T284" s="12" t="s">
        <v>95</v>
      </c>
      <c r="U284" s="12" t="s">
        <v>95</v>
      </c>
      <c r="V284" s="12" t="s">
        <v>95</v>
      </c>
      <c r="W284" s="21" t="s">
        <v>95</v>
      </c>
      <c r="X284" s="21">
        <v>0.17240075154380505</v>
      </c>
      <c r="Y284" t="s">
        <v>382</v>
      </c>
    </row>
    <row r="285" spans="1:25" x14ac:dyDescent="0.2">
      <c r="B285" t="s">
        <v>23</v>
      </c>
      <c r="C285" t="s">
        <v>280</v>
      </c>
      <c r="D285" t="s">
        <v>284</v>
      </c>
      <c r="E285" t="s">
        <v>803</v>
      </c>
      <c r="F285" s="10">
        <v>45747</v>
      </c>
      <c r="G285" s="10">
        <v>46387</v>
      </c>
      <c r="H285" s="3" t="s">
        <v>285</v>
      </c>
      <c r="I285" t="s">
        <v>28</v>
      </c>
      <c r="J285" s="2" t="s">
        <v>30</v>
      </c>
      <c r="K285" t="s">
        <v>948</v>
      </c>
      <c r="L285" s="31">
        <v>0</v>
      </c>
      <c r="O285" s="12">
        <v>0</v>
      </c>
      <c r="P285" s="12" t="s">
        <v>951</v>
      </c>
      <c r="Q285" s="13" t="s">
        <v>95</v>
      </c>
      <c r="R285" s="11" t="s">
        <v>95</v>
      </c>
      <c r="S285" s="11" t="s">
        <v>95</v>
      </c>
      <c r="T285" s="12" t="s">
        <v>95</v>
      </c>
      <c r="U285" s="12" t="s">
        <v>95</v>
      </c>
      <c r="V285" s="12" t="s">
        <v>95</v>
      </c>
      <c r="W285" s="21" t="s">
        <v>95</v>
      </c>
      <c r="X285" s="21">
        <v>0.17240075154380505</v>
      </c>
      <c r="Y285" t="s">
        <v>407</v>
      </c>
    </row>
    <row r="286" spans="1:25" x14ac:dyDescent="0.2">
      <c r="A286" t="s">
        <v>286</v>
      </c>
      <c r="B286" t="s">
        <v>131</v>
      </c>
      <c r="C286" t="s">
        <v>280</v>
      </c>
      <c r="D286" t="s">
        <v>287</v>
      </c>
      <c r="E286" t="s">
        <v>804</v>
      </c>
      <c r="F286" s="44">
        <v>45740</v>
      </c>
      <c r="G286" s="42">
        <v>46022</v>
      </c>
      <c r="H286" s="3" t="s">
        <v>288</v>
      </c>
      <c r="I286" t="s">
        <v>28</v>
      </c>
      <c r="J286" s="2" t="s">
        <v>30</v>
      </c>
      <c r="K286" t="s">
        <v>948</v>
      </c>
      <c r="L286" s="31">
        <v>9.4</v>
      </c>
      <c r="N286" t="s">
        <v>289</v>
      </c>
      <c r="O286" s="12">
        <v>0</v>
      </c>
      <c r="P286" s="12">
        <v>776555.72301662527</v>
      </c>
      <c r="Q286" s="20" t="s">
        <v>95</v>
      </c>
      <c r="R286" s="11">
        <v>2</v>
      </c>
      <c r="S286" s="11">
        <v>2</v>
      </c>
      <c r="T286" s="12">
        <v>131991.92185297597</v>
      </c>
      <c r="U286" s="12">
        <v>131992</v>
      </c>
      <c r="V286" s="12">
        <v>7.8147024032659829E-2</v>
      </c>
      <c r="W286" s="21">
        <v>1</v>
      </c>
      <c r="X286" s="21">
        <v>9.9719987627590101E-2</v>
      </c>
      <c r="Y286" t="s">
        <v>426</v>
      </c>
    </row>
    <row r="287" spans="1:25" x14ac:dyDescent="0.2">
      <c r="A287" t="s">
        <v>304</v>
      </c>
      <c r="B287" t="s">
        <v>23</v>
      </c>
      <c r="C287" t="s">
        <v>280</v>
      </c>
      <c r="D287" t="s">
        <v>295</v>
      </c>
      <c r="E287" t="s">
        <v>805</v>
      </c>
      <c r="F287" s="44">
        <v>45740</v>
      </c>
      <c r="G287" s="44">
        <v>45930</v>
      </c>
      <c r="H287" s="3" t="s">
        <v>100</v>
      </c>
      <c r="I287" t="s">
        <v>28</v>
      </c>
      <c r="J287" s="2" t="s">
        <v>30</v>
      </c>
      <c r="K287" t="s">
        <v>948</v>
      </c>
      <c r="L287" s="31">
        <v>6.333333333333333</v>
      </c>
      <c r="N287" t="s">
        <v>305</v>
      </c>
      <c r="O287" s="12">
        <v>1000000</v>
      </c>
      <c r="P287" s="12">
        <v>1500000</v>
      </c>
      <c r="Q287" s="20">
        <v>0.5</v>
      </c>
      <c r="R287" s="11" t="s">
        <v>95</v>
      </c>
      <c r="S287" s="11">
        <v>0</v>
      </c>
      <c r="T287" s="12">
        <v>0</v>
      </c>
      <c r="U287" s="12">
        <v>0</v>
      </c>
      <c r="V287" s="12">
        <v>0</v>
      </c>
      <c r="W287" s="21" t="s">
        <v>95</v>
      </c>
      <c r="X287" s="21">
        <v>0.22734625458354665</v>
      </c>
      <c r="Y287" t="s">
        <v>456</v>
      </c>
    </row>
    <row r="288" spans="1:25" x14ac:dyDescent="0.2">
      <c r="A288" t="s">
        <v>306</v>
      </c>
      <c r="B288" t="s">
        <v>23</v>
      </c>
      <c r="C288" t="s">
        <v>280</v>
      </c>
      <c r="D288" t="s">
        <v>295</v>
      </c>
      <c r="E288" t="s">
        <v>806</v>
      </c>
      <c r="F288" s="44">
        <v>45799</v>
      </c>
      <c r="G288" s="44">
        <v>45930</v>
      </c>
      <c r="H288" s="3" t="s">
        <v>100</v>
      </c>
      <c r="I288" t="s">
        <v>28</v>
      </c>
      <c r="J288" s="2" t="s">
        <v>30</v>
      </c>
      <c r="K288" t="s">
        <v>948</v>
      </c>
      <c r="L288" s="31">
        <v>4.3666666666666663</v>
      </c>
      <c r="N288" t="s">
        <v>307</v>
      </c>
      <c r="O288" s="12">
        <v>298482.75</v>
      </c>
      <c r="P288" s="12">
        <v>757956.66675355949</v>
      </c>
      <c r="Q288" s="13">
        <v>1.5393650613094374</v>
      </c>
      <c r="R288" s="11">
        <v>13</v>
      </c>
      <c r="S288" s="11">
        <v>87</v>
      </c>
      <c r="T288" s="12">
        <v>533592.45470845816</v>
      </c>
      <c r="U288" s="12">
        <v>3510477</v>
      </c>
      <c r="V288" s="12">
        <v>2976884.5452915421</v>
      </c>
      <c r="W288" s="21">
        <v>0.14942528735632185</v>
      </c>
      <c r="X288" s="21">
        <v>0.22734625458354665</v>
      </c>
      <c r="Y288" t="s">
        <v>95</v>
      </c>
    </row>
    <row r="289" spans="1:25" x14ac:dyDescent="0.2">
      <c r="A289" t="s">
        <v>306</v>
      </c>
      <c r="B289" t="s">
        <v>23</v>
      </c>
      <c r="C289" t="s">
        <v>280</v>
      </c>
      <c r="D289" t="s">
        <v>295</v>
      </c>
      <c r="E289" t="s">
        <v>807</v>
      </c>
      <c r="F289" s="44">
        <v>45791</v>
      </c>
      <c r="G289" s="44">
        <v>45991</v>
      </c>
      <c r="H289" s="3" t="s">
        <v>100</v>
      </c>
      <c r="I289" t="s">
        <v>28</v>
      </c>
      <c r="J289" s="2" t="s">
        <v>30</v>
      </c>
      <c r="K289" t="s">
        <v>948</v>
      </c>
      <c r="L289" s="31">
        <v>6.666666666666667</v>
      </c>
      <c r="N289" t="s">
        <v>308</v>
      </c>
      <c r="O289" s="12">
        <v>298482.75</v>
      </c>
      <c r="P289" s="12">
        <v>757956.66675355949</v>
      </c>
      <c r="Q289" s="13">
        <v>1.5393650613094374</v>
      </c>
      <c r="R289" s="11">
        <v>13</v>
      </c>
      <c r="S289" s="11">
        <v>87</v>
      </c>
      <c r="T289" s="12">
        <v>533592.45470845816</v>
      </c>
      <c r="U289" s="12">
        <v>3510477</v>
      </c>
      <c r="V289" s="12">
        <v>2976884.5452915421</v>
      </c>
      <c r="W289" s="21">
        <v>0.14942528735632185</v>
      </c>
      <c r="X289" s="21">
        <v>0.22734625458354665</v>
      </c>
      <c r="Y289" t="s">
        <v>95</v>
      </c>
    </row>
    <row r="290" spans="1:25" x14ac:dyDescent="0.2">
      <c r="A290" t="s">
        <v>373</v>
      </c>
      <c r="B290" t="s">
        <v>23</v>
      </c>
      <c r="C290" t="s">
        <v>175</v>
      </c>
      <c r="D290" t="s">
        <v>149</v>
      </c>
      <c r="E290" t="s">
        <v>912</v>
      </c>
      <c r="F290" s="42">
        <v>45829</v>
      </c>
      <c r="G290" s="42">
        <v>46004</v>
      </c>
      <c r="H290" s="3" t="s">
        <v>43</v>
      </c>
      <c r="I290" t="s">
        <v>28</v>
      </c>
      <c r="J290" s="2" t="s">
        <v>30</v>
      </c>
      <c r="K290" t="s">
        <v>948</v>
      </c>
      <c r="L290" s="31">
        <v>5.833333333333333</v>
      </c>
      <c r="M290" t="s">
        <v>61</v>
      </c>
      <c r="N290" t="s">
        <v>374</v>
      </c>
      <c r="O290" s="12">
        <v>1156430.54</v>
      </c>
      <c r="P290" s="12" t="s">
        <v>951</v>
      </c>
      <c r="Q290" s="20" t="s">
        <v>95</v>
      </c>
      <c r="R290" s="11" t="s">
        <v>95</v>
      </c>
      <c r="S290" s="11" t="s">
        <v>95</v>
      </c>
      <c r="T290" s="12" t="s">
        <v>95</v>
      </c>
      <c r="U290" s="12" t="s">
        <v>95</v>
      </c>
      <c r="V290" s="12" t="s">
        <v>95</v>
      </c>
      <c r="W290" s="21" t="s">
        <v>95</v>
      </c>
      <c r="X290" s="21">
        <v>0.34650362996126405</v>
      </c>
      <c r="Y290" t="s">
        <v>361</v>
      </c>
    </row>
    <row r="291" spans="1:25" x14ac:dyDescent="0.2">
      <c r="A291" t="s">
        <v>174</v>
      </c>
      <c r="B291" t="s">
        <v>23</v>
      </c>
      <c r="C291" t="s">
        <v>175</v>
      </c>
      <c r="D291" t="s">
        <v>476</v>
      </c>
      <c r="E291" t="s">
        <v>913</v>
      </c>
      <c r="F291" s="10">
        <v>45747</v>
      </c>
      <c r="G291" s="10">
        <v>46387</v>
      </c>
      <c r="H291" s="3" t="s">
        <v>176</v>
      </c>
      <c r="I291" t="s">
        <v>28</v>
      </c>
      <c r="J291" s="2" t="s">
        <v>30</v>
      </c>
      <c r="K291" t="s">
        <v>948</v>
      </c>
      <c r="L291" s="31">
        <v>0</v>
      </c>
      <c r="O291" s="12">
        <v>0</v>
      </c>
      <c r="P291" s="12">
        <v>748553.22375494812</v>
      </c>
      <c r="Q291" s="20" t="s">
        <v>95</v>
      </c>
      <c r="R291" s="11">
        <v>13</v>
      </c>
      <c r="S291" s="11">
        <v>257</v>
      </c>
      <c r="T291" s="12">
        <v>748553.22375494812</v>
      </c>
      <c r="U291" s="12">
        <v>14971064</v>
      </c>
      <c r="V291" s="12">
        <v>14222510.776245052</v>
      </c>
      <c r="W291" s="21">
        <v>5.0583657587548639E-2</v>
      </c>
      <c r="X291" s="21" t="s">
        <v>95</v>
      </c>
      <c r="Y291" t="s">
        <v>95</v>
      </c>
    </row>
    <row r="292" spans="1:25" x14ac:dyDescent="0.2">
      <c r="A292" t="s">
        <v>177</v>
      </c>
      <c r="B292" t="s">
        <v>23</v>
      </c>
      <c r="C292" t="s">
        <v>175</v>
      </c>
      <c r="D292" t="s">
        <v>476</v>
      </c>
      <c r="E292" t="s">
        <v>914</v>
      </c>
      <c r="H292" s="3" t="s">
        <v>176</v>
      </c>
      <c r="I292" t="s">
        <v>28</v>
      </c>
      <c r="J292" s="2" t="s">
        <v>30</v>
      </c>
      <c r="K292" t="s">
        <v>948</v>
      </c>
      <c r="O292" s="12">
        <v>0</v>
      </c>
      <c r="P292" s="12">
        <v>760069.42719733191</v>
      </c>
      <c r="Q292" s="20" t="s">
        <v>95</v>
      </c>
      <c r="R292" s="11">
        <v>13</v>
      </c>
      <c r="S292" s="11">
        <v>218</v>
      </c>
      <c r="T292" s="12">
        <v>760069.42719733191</v>
      </c>
      <c r="U292" s="12">
        <v>12667824</v>
      </c>
      <c r="V292" s="12">
        <v>11907754.572802668</v>
      </c>
      <c r="W292" s="21">
        <v>5.9633027522935783E-2</v>
      </c>
      <c r="X292" s="21" t="s">
        <v>95</v>
      </c>
      <c r="Y292" t="s">
        <v>428</v>
      </c>
    </row>
    <row r="293" spans="1:25" x14ac:dyDescent="0.2">
      <c r="A293" t="s">
        <v>325</v>
      </c>
      <c r="B293" t="s">
        <v>23</v>
      </c>
      <c r="C293" t="s">
        <v>175</v>
      </c>
      <c r="D293" t="s">
        <v>326</v>
      </c>
      <c r="E293" t="s">
        <v>915</v>
      </c>
      <c r="F293" s="10">
        <v>45839</v>
      </c>
      <c r="G293" s="10">
        <v>45961</v>
      </c>
      <c r="H293" s="3" t="s">
        <v>139</v>
      </c>
      <c r="I293" t="s">
        <v>28</v>
      </c>
      <c r="J293" s="2" t="s">
        <v>30</v>
      </c>
      <c r="K293" t="s">
        <v>948</v>
      </c>
      <c r="L293" s="31">
        <v>5.0999999999999996</v>
      </c>
      <c r="O293" s="12">
        <v>740722</v>
      </c>
      <c r="P293" s="12">
        <v>1722769</v>
      </c>
      <c r="Q293" s="13">
        <v>1.3257969926639144</v>
      </c>
      <c r="R293" s="11">
        <v>8</v>
      </c>
      <c r="S293" s="11">
        <v>39</v>
      </c>
      <c r="T293" s="12">
        <v>447992.85742219858</v>
      </c>
      <c r="U293" s="12">
        <v>2239964</v>
      </c>
      <c r="V293" s="12">
        <v>1791971.1425778014</v>
      </c>
      <c r="W293" s="13">
        <v>0.20512820512820512</v>
      </c>
      <c r="X293" s="23">
        <v>0.44084891187851694</v>
      </c>
      <c r="Y293" t="s">
        <v>95</v>
      </c>
    </row>
    <row r="294" spans="1:25" x14ac:dyDescent="0.2">
      <c r="A294" t="s">
        <v>66</v>
      </c>
      <c r="B294" t="s">
        <v>23</v>
      </c>
      <c r="C294" t="s">
        <v>175</v>
      </c>
      <c r="D294" t="s">
        <v>326</v>
      </c>
      <c r="E294" t="s">
        <v>916</v>
      </c>
      <c r="F294" s="10">
        <v>45839</v>
      </c>
      <c r="G294" s="10">
        <v>45961</v>
      </c>
      <c r="H294" s="3" t="s">
        <v>139</v>
      </c>
      <c r="I294" t="s">
        <v>28</v>
      </c>
      <c r="J294" s="2" t="s">
        <v>30</v>
      </c>
      <c r="K294" t="s">
        <v>948</v>
      </c>
      <c r="L294" s="31">
        <v>5.0999999999999996</v>
      </c>
      <c r="O294" s="12">
        <v>95833.333333333328</v>
      </c>
      <c r="P294" s="12">
        <v>783030.68283454294</v>
      </c>
      <c r="Q294" s="13">
        <v>7.1707549513169697</v>
      </c>
      <c r="R294" s="11">
        <v>8</v>
      </c>
      <c r="S294" s="11">
        <v>41</v>
      </c>
      <c r="T294" s="12">
        <v>472881.34950120962</v>
      </c>
      <c r="U294" s="12">
        <v>2364407</v>
      </c>
      <c r="V294" s="12">
        <v>1891525.6504987904</v>
      </c>
      <c r="W294" s="13">
        <v>0.1951219512195122</v>
      </c>
      <c r="X294" s="23">
        <v>0.44084891187851694</v>
      </c>
      <c r="Y294" t="s">
        <v>95</v>
      </c>
    </row>
    <row r="295" spans="1:25" x14ac:dyDescent="0.2">
      <c r="A295" t="s">
        <v>66</v>
      </c>
      <c r="B295" t="s">
        <v>23</v>
      </c>
      <c r="C295" t="s">
        <v>175</v>
      </c>
      <c r="D295" t="s">
        <v>326</v>
      </c>
      <c r="E295" t="s">
        <v>917</v>
      </c>
      <c r="F295" s="10">
        <v>45839</v>
      </c>
      <c r="G295" s="10">
        <v>45961</v>
      </c>
      <c r="H295" s="3" t="s">
        <v>139</v>
      </c>
      <c r="I295" t="s">
        <v>28</v>
      </c>
      <c r="J295" s="2" t="s">
        <v>30</v>
      </c>
      <c r="K295" t="s">
        <v>948</v>
      </c>
      <c r="L295" s="31">
        <v>5.0999999999999996</v>
      </c>
      <c r="O295" s="12">
        <v>95833.333333333328</v>
      </c>
      <c r="P295" s="12">
        <v>783030.68283454294</v>
      </c>
      <c r="Q295" s="13">
        <v>7.1707549513169697</v>
      </c>
      <c r="R295" s="11">
        <v>8</v>
      </c>
      <c r="S295" s="11">
        <v>41</v>
      </c>
      <c r="T295" s="12">
        <v>472881.34950120962</v>
      </c>
      <c r="U295" s="12">
        <v>2364407</v>
      </c>
      <c r="V295" s="12">
        <v>1891525.6504987904</v>
      </c>
      <c r="W295" s="13">
        <v>0.1951219512195122</v>
      </c>
      <c r="X295" s="23">
        <v>0.44084891187851694</v>
      </c>
      <c r="Y295" t="s">
        <v>95</v>
      </c>
    </row>
    <row r="296" spans="1:25" x14ac:dyDescent="0.2">
      <c r="A296" t="s">
        <v>66</v>
      </c>
      <c r="B296" t="s">
        <v>23</v>
      </c>
      <c r="C296" t="s">
        <v>175</v>
      </c>
      <c r="D296" t="s">
        <v>326</v>
      </c>
      <c r="E296" t="s">
        <v>918</v>
      </c>
      <c r="F296" s="44">
        <v>45874</v>
      </c>
      <c r="G296" s="44">
        <v>45938</v>
      </c>
      <c r="H296" s="3" t="s">
        <v>139</v>
      </c>
      <c r="I296" t="s">
        <v>28</v>
      </c>
      <c r="J296" s="2" t="s">
        <v>30</v>
      </c>
      <c r="K296" t="s">
        <v>948</v>
      </c>
      <c r="L296" s="31">
        <v>2.1333333333333333</v>
      </c>
      <c r="N296" t="s">
        <v>330</v>
      </c>
      <c r="O296" s="12">
        <v>95833.333333333328</v>
      </c>
      <c r="P296" s="12">
        <v>783030.68283454294</v>
      </c>
      <c r="Q296" s="13">
        <v>7.1707549513169697</v>
      </c>
      <c r="R296" s="11">
        <v>8</v>
      </c>
      <c r="S296" s="11">
        <v>41</v>
      </c>
      <c r="T296" s="12">
        <v>472881.34950120962</v>
      </c>
      <c r="U296" s="12">
        <v>2364407</v>
      </c>
      <c r="V296" s="12">
        <v>1891525.6504987904</v>
      </c>
      <c r="W296" s="13">
        <v>0.1951219512195122</v>
      </c>
      <c r="X296" s="23">
        <v>0.44084891187851694</v>
      </c>
      <c r="Y296" t="s">
        <v>95</v>
      </c>
    </row>
    <row r="297" spans="1:25" x14ac:dyDescent="0.2">
      <c r="A297" t="s">
        <v>66</v>
      </c>
      <c r="B297" t="s">
        <v>23</v>
      </c>
      <c r="C297" t="s">
        <v>175</v>
      </c>
      <c r="D297" t="s">
        <v>326</v>
      </c>
      <c r="E297" t="s">
        <v>919</v>
      </c>
      <c r="F297" s="44">
        <v>45799</v>
      </c>
      <c r="G297" s="44">
        <v>46008</v>
      </c>
      <c r="H297" s="3" t="s">
        <v>139</v>
      </c>
      <c r="I297" t="s">
        <v>28</v>
      </c>
      <c r="J297" s="2" t="s">
        <v>30</v>
      </c>
      <c r="K297" t="s">
        <v>948</v>
      </c>
      <c r="L297" s="31">
        <v>6.9666666666666668</v>
      </c>
      <c r="N297" t="s">
        <v>332</v>
      </c>
      <c r="O297" s="12">
        <v>95833.333333333328</v>
      </c>
      <c r="P297" s="12">
        <v>783030.68283454294</v>
      </c>
      <c r="Q297" s="13">
        <v>7.1707549513169697</v>
      </c>
      <c r="R297" s="11">
        <v>8</v>
      </c>
      <c r="S297" s="11">
        <v>41</v>
      </c>
      <c r="T297" s="12">
        <v>472881.34950120962</v>
      </c>
      <c r="U297" s="12">
        <v>2364407</v>
      </c>
      <c r="V297" s="12">
        <v>1891525.6504987904</v>
      </c>
      <c r="W297" s="13">
        <v>0.1951219512195122</v>
      </c>
      <c r="X297" s="23">
        <v>0.44084891187851694</v>
      </c>
      <c r="Y297" t="s">
        <v>430</v>
      </c>
    </row>
    <row r="298" spans="1:25" x14ac:dyDescent="0.2">
      <c r="A298" t="s">
        <v>333</v>
      </c>
      <c r="B298" t="s">
        <v>23</v>
      </c>
      <c r="C298" t="s">
        <v>175</v>
      </c>
      <c r="D298" t="s">
        <v>339</v>
      </c>
      <c r="E298" t="s">
        <v>920</v>
      </c>
      <c r="F298" s="10">
        <v>45931</v>
      </c>
      <c r="G298" s="10">
        <v>46022</v>
      </c>
      <c r="H298" s="3" t="s">
        <v>139</v>
      </c>
      <c r="I298" t="s">
        <v>28</v>
      </c>
      <c r="J298" s="2" t="s">
        <v>30</v>
      </c>
      <c r="K298" t="s">
        <v>948</v>
      </c>
      <c r="L298" s="31">
        <v>5.0999999999999996</v>
      </c>
      <c r="N298" t="s">
        <v>344</v>
      </c>
      <c r="O298" s="12">
        <v>408648.46153846156</v>
      </c>
      <c r="P298" s="12">
        <v>1923076.923076923</v>
      </c>
      <c r="Q298" s="13">
        <v>3.7059443606786346</v>
      </c>
      <c r="R298" s="11">
        <v>25</v>
      </c>
      <c r="S298" s="11">
        <v>100</v>
      </c>
      <c r="T298" s="12">
        <v>1435874.5430198673</v>
      </c>
      <c r="U298" s="12">
        <v>5743498</v>
      </c>
      <c r="V298" s="12">
        <v>4307623.4569801325</v>
      </c>
      <c r="W298" s="13">
        <v>0.25</v>
      </c>
      <c r="X298" s="23">
        <v>0.44084891187851694</v>
      </c>
      <c r="Y298" t="s">
        <v>95</v>
      </c>
    </row>
    <row r="299" spans="1:25" x14ac:dyDescent="0.2">
      <c r="A299" t="s">
        <v>356</v>
      </c>
      <c r="B299" t="s">
        <v>23</v>
      </c>
      <c r="C299" t="s">
        <v>175</v>
      </c>
      <c r="D299" t="s">
        <v>357</v>
      </c>
      <c r="E299" t="s">
        <v>921</v>
      </c>
      <c r="F299" s="42">
        <v>45901</v>
      </c>
      <c r="G299" s="42">
        <v>45960</v>
      </c>
      <c r="H299" s="3" t="s">
        <v>358</v>
      </c>
      <c r="I299" t="s">
        <v>28</v>
      </c>
      <c r="J299" s="2" t="s">
        <v>30</v>
      </c>
      <c r="K299" t="s">
        <v>948</v>
      </c>
      <c r="L299" s="31">
        <v>1.9666666666666666</v>
      </c>
      <c r="N299" t="s">
        <v>359</v>
      </c>
      <c r="O299" s="12">
        <v>256984.66666666666</v>
      </c>
      <c r="P299" s="12">
        <v>440589</v>
      </c>
      <c r="Q299" s="13">
        <v>0.71445637482910784</v>
      </c>
      <c r="R299" s="11">
        <v>2</v>
      </c>
      <c r="S299" s="11">
        <v>78</v>
      </c>
      <c r="T299" s="12">
        <v>88950.022984076189</v>
      </c>
      <c r="U299" s="12">
        <v>4447501</v>
      </c>
      <c r="V299" s="12">
        <v>4358550.9770159237</v>
      </c>
      <c r="W299" s="13">
        <v>2.564102564102564E-2</v>
      </c>
      <c r="X299" s="23">
        <v>0.44195585665372528</v>
      </c>
      <c r="Y299" t="s">
        <v>95</v>
      </c>
    </row>
    <row r="300" spans="1:25" x14ac:dyDescent="0.2">
      <c r="A300" t="s">
        <v>360</v>
      </c>
      <c r="B300" t="s">
        <v>23</v>
      </c>
      <c r="C300" t="s">
        <v>175</v>
      </c>
      <c r="D300" t="s">
        <v>357</v>
      </c>
      <c r="E300" t="s">
        <v>922</v>
      </c>
      <c r="F300" s="10">
        <v>45799</v>
      </c>
      <c r="G300" s="10">
        <v>45961</v>
      </c>
      <c r="H300" s="3" t="s">
        <v>358</v>
      </c>
      <c r="I300" t="s">
        <v>28</v>
      </c>
      <c r="J300" s="2" t="s">
        <v>30</v>
      </c>
      <c r="K300" t="s">
        <v>948</v>
      </c>
      <c r="L300" s="31">
        <v>5.4</v>
      </c>
      <c r="O300" s="12">
        <v>0</v>
      </c>
      <c r="P300" s="12">
        <v>0</v>
      </c>
      <c r="Q300" s="13" t="s">
        <v>95</v>
      </c>
      <c r="R300" s="11" t="s">
        <v>95</v>
      </c>
      <c r="S300" s="11">
        <v>0</v>
      </c>
      <c r="T300" s="12">
        <v>0</v>
      </c>
      <c r="U300" s="12">
        <v>0</v>
      </c>
      <c r="V300" s="12">
        <v>0</v>
      </c>
      <c r="W300" s="13" t="s">
        <v>95</v>
      </c>
      <c r="X300" s="23">
        <v>0.44195585665372528</v>
      </c>
      <c r="Y300" t="s">
        <v>95</v>
      </c>
    </row>
    <row r="301" spans="1:25" x14ac:dyDescent="0.2">
      <c r="A301" t="s">
        <v>360</v>
      </c>
      <c r="B301" t="s">
        <v>23</v>
      </c>
      <c r="C301" t="s">
        <v>175</v>
      </c>
      <c r="D301" t="s">
        <v>357</v>
      </c>
      <c r="E301" t="s">
        <v>923</v>
      </c>
      <c r="F301" s="44">
        <v>45799</v>
      </c>
      <c r="G301" s="42">
        <v>45930</v>
      </c>
      <c r="H301" s="3" t="s">
        <v>358</v>
      </c>
      <c r="I301" t="s">
        <v>28</v>
      </c>
      <c r="J301" s="2" t="s">
        <v>30</v>
      </c>
      <c r="K301" t="s">
        <v>948</v>
      </c>
      <c r="L301" s="31">
        <v>4.3666666666666663</v>
      </c>
      <c r="N301" t="s">
        <v>361</v>
      </c>
      <c r="O301" s="12">
        <v>1076400</v>
      </c>
      <c r="P301" s="12">
        <v>1304070.8</v>
      </c>
      <c r="Q301" s="13">
        <v>0.21151133407655151</v>
      </c>
      <c r="R301" s="11">
        <v>5</v>
      </c>
      <c r="S301" s="11">
        <v>47</v>
      </c>
      <c r="T301" s="12">
        <v>266850.06895222864</v>
      </c>
      <c r="U301" s="12">
        <v>2668501</v>
      </c>
      <c r="V301" s="12">
        <v>2401650.9310477711</v>
      </c>
      <c r="W301" s="13">
        <v>0.10638297872340426</v>
      </c>
      <c r="X301" s="23">
        <v>0.44195585665372528</v>
      </c>
      <c r="Y301" t="s">
        <v>95</v>
      </c>
    </row>
    <row r="302" spans="1:25" x14ac:dyDescent="0.2">
      <c r="A302" t="s">
        <v>360</v>
      </c>
      <c r="B302" t="s">
        <v>23</v>
      </c>
      <c r="C302" t="s">
        <v>175</v>
      </c>
      <c r="D302" t="s">
        <v>357</v>
      </c>
      <c r="E302" t="s">
        <v>924</v>
      </c>
      <c r="F302" s="44">
        <v>45809</v>
      </c>
      <c r="G302" s="42">
        <v>45961</v>
      </c>
      <c r="H302" s="3" t="s">
        <v>358</v>
      </c>
      <c r="I302" t="s">
        <v>28</v>
      </c>
      <c r="J302" s="2" t="s">
        <v>30</v>
      </c>
      <c r="K302" t="s">
        <v>948</v>
      </c>
      <c r="L302" s="31">
        <v>5.0666666666666664</v>
      </c>
      <c r="N302" t="s">
        <v>362</v>
      </c>
      <c r="O302" s="12">
        <v>1076400</v>
      </c>
      <c r="P302" s="12">
        <v>1304070.8</v>
      </c>
      <c r="Q302" s="13">
        <v>0.21151133407655151</v>
      </c>
      <c r="R302" s="11">
        <v>5</v>
      </c>
      <c r="S302" s="11">
        <v>47</v>
      </c>
      <c r="T302" s="12">
        <v>266850.06895222864</v>
      </c>
      <c r="U302" s="12">
        <v>2668501</v>
      </c>
      <c r="V302" s="12">
        <v>2401650.9310477711</v>
      </c>
      <c r="W302" s="13">
        <v>0.10638297872340426</v>
      </c>
      <c r="X302" s="23">
        <v>0.44195585665372528</v>
      </c>
      <c r="Y302" t="s">
        <v>434</v>
      </c>
    </row>
    <row r="303" spans="1:25" x14ac:dyDescent="0.2">
      <c r="A303" t="s">
        <v>360</v>
      </c>
      <c r="B303" t="s">
        <v>23</v>
      </c>
      <c r="C303" t="s">
        <v>175</v>
      </c>
      <c r="D303" t="s">
        <v>357</v>
      </c>
      <c r="E303" t="s">
        <v>925</v>
      </c>
      <c r="F303" s="44">
        <v>45799</v>
      </c>
      <c r="G303" s="42">
        <v>45945</v>
      </c>
      <c r="H303" s="3" t="s">
        <v>358</v>
      </c>
      <c r="I303" t="s">
        <v>28</v>
      </c>
      <c r="J303" s="2" t="s">
        <v>30</v>
      </c>
      <c r="K303" t="s">
        <v>948</v>
      </c>
      <c r="L303" s="31">
        <v>4.8666666666666663</v>
      </c>
      <c r="N303" t="s">
        <v>361</v>
      </c>
      <c r="O303" s="12">
        <v>1076400</v>
      </c>
      <c r="P303" s="12">
        <v>1304070.8</v>
      </c>
      <c r="Q303" s="13">
        <v>0.21151133407655151</v>
      </c>
      <c r="R303" s="11">
        <v>5</v>
      </c>
      <c r="S303" s="11">
        <v>47</v>
      </c>
      <c r="T303" s="12">
        <v>266850.06895222864</v>
      </c>
      <c r="U303" s="12">
        <v>2668501</v>
      </c>
      <c r="V303" s="12">
        <v>2401650.9310477711</v>
      </c>
      <c r="W303" s="13">
        <v>0.10638297872340426</v>
      </c>
      <c r="X303" s="23">
        <v>0.44195585665372528</v>
      </c>
      <c r="Y303" t="s">
        <v>95</v>
      </c>
    </row>
    <row r="304" spans="1:25" x14ac:dyDescent="0.2">
      <c r="A304" t="s">
        <v>356</v>
      </c>
      <c r="B304" t="s">
        <v>23</v>
      </c>
      <c r="C304" t="s">
        <v>175</v>
      </c>
      <c r="D304" t="s">
        <v>357</v>
      </c>
      <c r="E304" t="s">
        <v>926</v>
      </c>
      <c r="F304" s="44">
        <v>45799</v>
      </c>
      <c r="G304" s="42">
        <v>46022</v>
      </c>
      <c r="H304" s="3" t="s">
        <v>358</v>
      </c>
      <c r="I304" t="s">
        <v>28</v>
      </c>
      <c r="J304" s="2" t="s">
        <v>30</v>
      </c>
      <c r="K304" t="s">
        <v>948</v>
      </c>
      <c r="L304" s="31">
        <v>7.4333333333333336</v>
      </c>
      <c r="N304" t="s">
        <v>363</v>
      </c>
      <c r="O304" s="12">
        <v>256984.66666666666</v>
      </c>
      <c r="P304" s="12">
        <v>440589</v>
      </c>
      <c r="Q304" s="13">
        <v>0.71445637482910784</v>
      </c>
      <c r="R304" s="11">
        <v>2</v>
      </c>
      <c r="S304" s="11">
        <v>78</v>
      </c>
      <c r="T304" s="12">
        <v>88950.022984076189</v>
      </c>
      <c r="U304" s="12">
        <v>4447501</v>
      </c>
      <c r="V304" s="12">
        <v>4358550.9770159237</v>
      </c>
      <c r="W304" s="13">
        <v>2.564102564102564E-2</v>
      </c>
      <c r="X304" s="23">
        <v>0.44195585665372528</v>
      </c>
      <c r="Y304" t="s">
        <v>436</v>
      </c>
    </row>
    <row r="305" spans="1:25" x14ac:dyDescent="0.2">
      <c r="A305" t="s">
        <v>356</v>
      </c>
      <c r="B305" t="s">
        <v>23</v>
      </c>
      <c r="C305" t="s">
        <v>175</v>
      </c>
      <c r="D305" t="s">
        <v>357</v>
      </c>
      <c r="E305" t="s">
        <v>927</v>
      </c>
      <c r="F305" s="10">
        <v>45717</v>
      </c>
      <c r="G305" s="10">
        <v>45961</v>
      </c>
      <c r="H305" s="3" t="s">
        <v>358</v>
      </c>
      <c r="I305" t="s">
        <v>28</v>
      </c>
      <c r="J305" s="2" t="s">
        <v>30</v>
      </c>
      <c r="K305" t="s">
        <v>948</v>
      </c>
      <c r="L305" s="31">
        <v>9.1666666666666661</v>
      </c>
      <c r="N305" t="s">
        <v>365</v>
      </c>
      <c r="O305" s="12">
        <v>256984.66666666666</v>
      </c>
      <c r="P305" s="12">
        <v>440589</v>
      </c>
      <c r="Q305" s="13">
        <v>0.71445637482910784</v>
      </c>
      <c r="R305" s="11">
        <v>2</v>
      </c>
      <c r="S305" s="11">
        <v>78</v>
      </c>
      <c r="T305" s="12">
        <v>88950.022984076189</v>
      </c>
      <c r="U305" s="12">
        <v>4447501</v>
      </c>
      <c r="V305" s="12">
        <v>4358550.9770159237</v>
      </c>
      <c r="W305" s="13">
        <v>2.564102564102564E-2</v>
      </c>
      <c r="X305" s="23">
        <v>0.44195585665372528</v>
      </c>
      <c r="Y305" t="s">
        <v>95</v>
      </c>
    </row>
    <row r="306" spans="1:25" x14ac:dyDescent="0.2">
      <c r="A306" t="s">
        <v>366</v>
      </c>
      <c r="B306" t="s">
        <v>23</v>
      </c>
      <c r="C306" t="s">
        <v>175</v>
      </c>
      <c r="D306" t="s">
        <v>357</v>
      </c>
      <c r="E306" t="s">
        <v>928</v>
      </c>
      <c r="F306" s="10">
        <v>45560</v>
      </c>
      <c r="G306" s="10">
        <v>45930</v>
      </c>
      <c r="H306" s="3" t="s">
        <v>358</v>
      </c>
      <c r="I306" t="s">
        <v>28</v>
      </c>
      <c r="J306" s="2" t="s">
        <v>30</v>
      </c>
      <c r="K306" t="s">
        <v>948</v>
      </c>
      <c r="N306" s="48" t="s">
        <v>367</v>
      </c>
      <c r="O306" s="12">
        <v>417147</v>
      </c>
      <c r="P306" s="12">
        <v>3265949</v>
      </c>
      <c r="Q306" s="13">
        <v>6.8292520382503055</v>
      </c>
      <c r="R306" s="11">
        <v>14</v>
      </c>
      <c r="S306" s="11">
        <v>233</v>
      </c>
      <c r="T306" s="12">
        <v>800550.20685668581</v>
      </c>
      <c r="U306" s="12">
        <v>13342503</v>
      </c>
      <c r="V306" s="12">
        <v>12541952.793143313</v>
      </c>
      <c r="W306" s="21">
        <v>6.0085836909871244E-2</v>
      </c>
      <c r="X306" s="21">
        <v>0.44195585665372528</v>
      </c>
      <c r="Y306" t="s">
        <v>95</v>
      </c>
    </row>
    <row r="307" spans="1:25" x14ac:dyDescent="0.2">
      <c r="A307" t="s">
        <v>368</v>
      </c>
      <c r="B307" t="s">
        <v>23</v>
      </c>
      <c r="C307" t="s">
        <v>175</v>
      </c>
      <c r="D307" t="s">
        <v>357</v>
      </c>
      <c r="E307" t="s">
        <v>929</v>
      </c>
      <c r="H307" s="3" t="s">
        <v>358</v>
      </c>
      <c r="I307" t="s">
        <v>28</v>
      </c>
      <c r="J307" s="2" t="s">
        <v>30</v>
      </c>
      <c r="K307" t="s">
        <v>948</v>
      </c>
      <c r="L307" s="31">
        <v>0</v>
      </c>
      <c r="O307" s="12">
        <v>691472</v>
      </c>
      <c r="P307" s="12">
        <v>1321767</v>
      </c>
      <c r="Q307" s="20">
        <v>0.91152642478654233</v>
      </c>
      <c r="R307" s="11">
        <v>5</v>
      </c>
      <c r="S307" s="11">
        <v>233</v>
      </c>
      <c r="T307" s="12">
        <v>266850.06895222858</v>
      </c>
      <c r="U307" s="12">
        <v>13342503</v>
      </c>
      <c r="V307" s="12">
        <v>13075652.931047771</v>
      </c>
      <c r="W307" s="21">
        <v>2.1459227467811159E-2</v>
      </c>
      <c r="X307" s="21">
        <v>0.44195585665372528</v>
      </c>
      <c r="Y307" t="s">
        <v>424</v>
      </c>
    </row>
    <row r="308" spans="1:25" x14ac:dyDescent="0.2">
      <c r="A308" t="s">
        <v>381</v>
      </c>
      <c r="B308" t="s">
        <v>23</v>
      </c>
      <c r="C308" t="s">
        <v>175</v>
      </c>
      <c r="D308" t="s">
        <v>149</v>
      </c>
      <c r="E308" t="s">
        <v>930</v>
      </c>
      <c r="F308" s="10">
        <v>45809</v>
      </c>
      <c r="G308" s="10">
        <v>45940</v>
      </c>
      <c r="H308" s="3" t="s">
        <v>104</v>
      </c>
      <c r="I308" t="s">
        <v>28</v>
      </c>
      <c r="J308" s="2" t="s">
        <v>30</v>
      </c>
      <c r="K308" t="s">
        <v>948</v>
      </c>
      <c r="L308" s="31">
        <v>4.0666666666666664</v>
      </c>
      <c r="N308" t="s">
        <v>382</v>
      </c>
      <c r="O308" s="12">
        <v>900000</v>
      </c>
      <c r="P308" s="12">
        <v>3709652</v>
      </c>
      <c r="Q308" s="13">
        <v>3.1218355555555557</v>
      </c>
      <c r="R308" s="11">
        <v>17</v>
      </c>
      <c r="S308" s="11">
        <v>201</v>
      </c>
      <c r="T308" s="12">
        <v>956204.62117490591</v>
      </c>
      <c r="U308" s="12">
        <v>11249466</v>
      </c>
      <c r="V308" s="12">
        <v>10293261.378825095</v>
      </c>
      <c r="W308" s="21">
        <v>8.45771144278607E-2</v>
      </c>
      <c r="X308" s="21">
        <v>0.39686971834061119</v>
      </c>
      <c r="Y308" t="s">
        <v>95</v>
      </c>
    </row>
    <row r="309" spans="1:25" x14ac:dyDescent="0.2">
      <c r="A309" t="s">
        <v>383</v>
      </c>
      <c r="B309" t="s">
        <v>131</v>
      </c>
      <c r="C309" t="s">
        <v>175</v>
      </c>
      <c r="D309" t="s">
        <v>149</v>
      </c>
      <c r="E309" t="s">
        <v>931</v>
      </c>
      <c r="F309" s="44">
        <v>45869</v>
      </c>
      <c r="G309" s="42">
        <v>45976</v>
      </c>
      <c r="H309" s="3" t="s">
        <v>43</v>
      </c>
      <c r="I309" t="s">
        <v>28</v>
      </c>
      <c r="J309" s="2" t="s">
        <v>30</v>
      </c>
      <c r="K309" t="s">
        <v>948</v>
      </c>
      <c r="L309" s="31">
        <v>3.5666666666666669</v>
      </c>
      <c r="N309" t="s">
        <v>385</v>
      </c>
      <c r="O309" s="12">
        <v>0</v>
      </c>
      <c r="P309" s="12">
        <v>0</v>
      </c>
      <c r="Q309" s="20" t="s">
        <v>95</v>
      </c>
      <c r="R309" s="11" t="s">
        <v>95</v>
      </c>
      <c r="S309" s="11">
        <v>0</v>
      </c>
      <c r="T309" s="12">
        <v>0</v>
      </c>
      <c r="U309" s="12">
        <v>0</v>
      </c>
      <c r="V309" s="12">
        <v>0</v>
      </c>
      <c r="W309" s="21" t="s">
        <v>95</v>
      </c>
      <c r="X309" s="21">
        <v>0.34650362996126405</v>
      </c>
      <c r="Y309" t="s">
        <v>359</v>
      </c>
    </row>
    <row r="310" spans="1:25" x14ac:dyDescent="0.2">
      <c r="A310" t="s">
        <v>392</v>
      </c>
      <c r="B310" t="s">
        <v>131</v>
      </c>
      <c r="C310" t="s">
        <v>175</v>
      </c>
      <c r="D310" t="s">
        <v>149</v>
      </c>
      <c r="E310" t="s">
        <v>932</v>
      </c>
      <c r="F310" s="42">
        <v>45869</v>
      </c>
      <c r="G310" s="42">
        <v>45947</v>
      </c>
      <c r="H310" s="3" t="s">
        <v>139</v>
      </c>
      <c r="I310" t="s">
        <v>28</v>
      </c>
      <c r="J310" s="2" t="s">
        <v>30</v>
      </c>
      <c r="K310" t="s">
        <v>948</v>
      </c>
      <c r="L310" s="31">
        <v>2.6</v>
      </c>
      <c r="N310" t="s">
        <v>394</v>
      </c>
      <c r="O310" s="12">
        <v>0</v>
      </c>
      <c r="P310" s="12">
        <v>0</v>
      </c>
      <c r="Q310" s="20" t="s">
        <v>95</v>
      </c>
      <c r="R310" s="11" t="s">
        <v>95</v>
      </c>
      <c r="S310" s="11">
        <v>0</v>
      </c>
      <c r="T310" s="12">
        <v>0</v>
      </c>
      <c r="U310" s="12">
        <v>0</v>
      </c>
      <c r="V310" s="12">
        <v>0</v>
      </c>
      <c r="W310" s="21" t="s">
        <v>95</v>
      </c>
      <c r="X310" s="21">
        <v>0.44084891187851694</v>
      </c>
      <c r="Y310" t="s">
        <v>361</v>
      </c>
    </row>
    <row r="311" spans="1:25" x14ac:dyDescent="0.2">
      <c r="B311" t="s">
        <v>131</v>
      </c>
      <c r="C311" t="s">
        <v>175</v>
      </c>
      <c r="D311" t="s">
        <v>395</v>
      </c>
      <c r="E311" t="s">
        <v>933</v>
      </c>
      <c r="F311" s="10">
        <v>45658</v>
      </c>
      <c r="G311" s="10">
        <v>45992</v>
      </c>
      <c r="H311" s="3" t="s">
        <v>67</v>
      </c>
      <c r="I311" t="s">
        <v>28</v>
      </c>
      <c r="J311" s="2" t="s">
        <v>30</v>
      </c>
      <c r="K311" t="s">
        <v>948</v>
      </c>
      <c r="L311" s="31">
        <v>11.133333333333333</v>
      </c>
      <c r="M311" t="s">
        <v>57</v>
      </c>
      <c r="N311" t="s">
        <v>397</v>
      </c>
      <c r="O311" s="12">
        <v>770953.69</v>
      </c>
      <c r="P311" s="12" t="s">
        <v>951</v>
      </c>
      <c r="Q311" s="20" t="s">
        <v>95</v>
      </c>
      <c r="R311" s="11" t="s">
        <v>95</v>
      </c>
      <c r="S311" s="11" t="s">
        <v>95</v>
      </c>
      <c r="T311" s="12" t="s">
        <v>95</v>
      </c>
      <c r="U311" s="12" t="s">
        <v>95</v>
      </c>
      <c r="V311" s="12" t="s">
        <v>95</v>
      </c>
      <c r="W311" s="21" t="s">
        <v>95</v>
      </c>
      <c r="X311" s="21">
        <v>9.8881276226545273E-2</v>
      </c>
      <c r="Y311" t="s">
        <v>362</v>
      </c>
    </row>
    <row r="312" spans="1:25" x14ac:dyDescent="0.2">
      <c r="A312" t="s">
        <v>438</v>
      </c>
      <c r="B312" t="s">
        <v>23</v>
      </c>
      <c r="C312" t="s">
        <v>175</v>
      </c>
      <c r="D312" t="s">
        <v>71</v>
      </c>
      <c r="E312" t="s">
        <v>934</v>
      </c>
      <c r="F312" s="10">
        <v>45717</v>
      </c>
      <c r="G312" s="10">
        <v>46022</v>
      </c>
      <c r="H312" s="3" t="s">
        <v>144</v>
      </c>
      <c r="I312" t="s">
        <v>28</v>
      </c>
      <c r="J312" s="2" t="s">
        <v>30</v>
      </c>
      <c r="K312" t="s">
        <v>948</v>
      </c>
      <c r="L312" s="31">
        <v>9.1666666666666661</v>
      </c>
      <c r="N312" t="s">
        <v>440</v>
      </c>
      <c r="O312" s="12">
        <v>1141315</v>
      </c>
      <c r="P312" s="12">
        <v>4000000</v>
      </c>
      <c r="Q312" s="13">
        <v>2.5047291939560945</v>
      </c>
      <c r="R312" s="11" t="s">
        <v>95</v>
      </c>
      <c r="S312" s="11">
        <v>0</v>
      </c>
      <c r="T312" s="12">
        <v>0</v>
      </c>
      <c r="U312" s="12">
        <v>0</v>
      </c>
      <c r="V312" s="12">
        <v>0</v>
      </c>
      <c r="W312" s="21" t="s">
        <v>95</v>
      </c>
      <c r="X312" s="21">
        <v>0.54879953085814948</v>
      </c>
      <c r="Y312" t="s">
        <v>361</v>
      </c>
    </row>
    <row r="313" spans="1:25" x14ac:dyDescent="0.2">
      <c r="B313" t="s">
        <v>97</v>
      </c>
      <c r="C313" t="s">
        <v>175</v>
      </c>
      <c r="D313" t="s">
        <v>71</v>
      </c>
      <c r="E313" t="s">
        <v>935</v>
      </c>
      <c r="F313" s="10">
        <v>45901</v>
      </c>
      <c r="G313" s="10">
        <v>46022</v>
      </c>
      <c r="H313" s="3" t="s">
        <v>216</v>
      </c>
      <c r="I313" t="s">
        <v>28</v>
      </c>
      <c r="J313" s="2" t="s">
        <v>30</v>
      </c>
      <c r="K313" t="s">
        <v>948</v>
      </c>
      <c r="L313" s="31">
        <v>5.0999999999999996</v>
      </c>
      <c r="N313" t="s">
        <v>442</v>
      </c>
      <c r="O313" s="12">
        <v>0</v>
      </c>
      <c r="P313" s="12" t="s">
        <v>951</v>
      </c>
      <c r="Q313" s="28">
        <v>0</v>
      </c>
      <c r="R313" s="11" t="s">
        <v>95</v>
      </c>
      <c r="S313" s="11" t="s">
        <v>95</v>
      </c>
      <c r="T313" s="12" t="s">
        <v>95</v>
      </c>
      <c r="U313" s="12" t="s">
        <v>95</v>
      </c>
      <c r="V313" s="12" t="s">
        <v>95</v>
      </c>
      <c r="W313" s="21" t="s">
        <v>95</v>
      </c>
      <c r="X313" s="21">
        <v>0.49613900866607147</v>
      </c>
      <c r="Y313" t="s">
        <v>363</v>
      </c>
    </row>
    <row r="314" spans="1:25" x14ac:dyDescent="0.2">
      <c r="A314" t="s">
        <v>443</v>
      </c>
      <c r="B314" t="s">
        <v>97</v>
      </c>
      <c r="C314" t="s">
        <v>175</v>
      </c>
      <c r="D314" t="s">
        <v>71</v>
      </c>
      <c r="E314" t="s">
        <v>936</v>
      </c>
      <c r="F314" s="10">
        <v>45778</v>
      </c>
      <c r="G314" s="10">
        <v>45961</v>
      </c>
      <c r="H314" s="3" t="s">
        <v>216</v>
      </c>
      <c r="I314" t="s">
        <v>28</v>
      </c>
      <c r="J314" s="2" t="s">
        <v>30</v>
      </c>
      <c r="K314" t="s">
        <v>948</v>
      </c>
      <c r="L314" s="31">
        <v>5.0999999999999996</v>
      </c>
      <c r="M314" t="s">
        <v>49</v>
      </c>
      <c r="N314" t="s">
        <v>444</v>
      </c>
      <c r="O314" s="12">
        <v>716476.85</v>
      </c>
      <c r="P314" s="12">
        <v>62420050</v>
      </c>
      <c r="Q314" s="13">
        <v>86.120819046700532</v>
      </c>
      <c r="R314" s="11" t="s">
        <v>95</v>
      </c>
      <c r="S314" s="11">
        <v>0</v>
      </c>
      <c r="T314" s="12">
        <v>0</v>
      </c>
      <c r="U314" s="12">
        <v>0</v>
      </c>
      <c r="V314" s="12">
        <v>0</v>
      </c>
      <c r="W314" s="21" t="s">
        <v>95</v>
      </c>
      <c r="X314" s="21">
        <v>0.49613900866607147</v>
      </c>
      <c r="Y314" t="s">
        <v>365</v>
      </c>
    </row>
    <row r="315" spans="1:25" x14ac:dyDescent="0.2">
      <c r="A315" t="s">
        <v>460</v>
      </c>
      <c r="B315" t="s">
        <v>131</v>
      </c>
      <c r="C315" t="s">
        <v>175</v>
      </c>
      <c r="D315" t="s">
        <v>461</v>
      </c>
      <c r="E315" t="s">
        <v>937</v>
      </c>
      <c r="F315" s="42">
        <v>45792</v>
      </c>
      <c r="G315" s="42">
        <v>45931</v>
      </c>
      <c r="H315" s="3" t="s">
        <v>190</v>
      </c>
      <c r="I315" t="s">
        <v>28</v>
      </c>
      <c r="J315" s="2" t="s">
        <v>30</v>
      </c>
      <c r="K315" t="s">
        <v>948</v>
      </c>
      <c r="L315" s="31">
        <v>4.6333333333333337</v>
      </c>
      <c r="O315" s="12">
        <v>192738</v>
      </c>
      <c r="P315" s="12">
        <v>533520</v>
      </c>
      <c r="Q315" s="20">
        <v>1.7681100768919467</v>
      </c>
      <c r="R315" s="11" t="s">
        <v>95</v>
      </c>
      <c r="S315" s="11">
        <v>0</v>
      </c>
      <c r="T315" s="12">
        <v>0</v>
      </c>
      <c r="U315" s="12">
        <v>0</v>
      </c>
      <c r="V315" s="12">
        <v>0</v>
      </c>
      <c r="W315" s="21" t="s">
        <v>95</v>
      </c>
      <c r="X315" s="21">
        <v>0.38186224316729489</v>
      </c>
      <c r="Y315" t="s">
        <v>95</v>
      </c>
    </row>
    <row r="316" spans="1:25" x14ac:dyDescent="0.2">
      <c r="A316" t="s">
        <v>333</v>
      </c>
      <c r="B316" t="s">
        <v>23</v>
      </c>
      <c r="C316" t="s">
        <v>175</v>
      </c>
      <c r="D316" t="s">
        <v>461</v>
      </c>
      <c r="E316" t="s">
        <v>938</v>
      </c>
      <c r="F316" s="42">
        <v>46204</v>
      </c>
      <c r="G316" s="42">
        <v>46752</v>
      </c>
      <c r="H316" s="3" t="s">
        <v>190</v>
      </c>
      <c r="I316" t="s">
        <v>28</v>
      </c>
      <c r="J316" s="2" t="s">
        <v>30</v>
      </c>
      <c r="K316" t="s">
        <v>948</v>
      </c>
      <c r="L316" s="31">
        <v>18.266666666666666</v>
      </c>
      <c r="M316" t="s">
        <v>471</v>
      </c>
      <c r="N316" t="s">
        <v>472</v>
      </c>
      <c r="O316" s="12">
        <v>408648.46153846156</v>
      </c>
      <c r="P316" s="12">
        <v>1923076.923076923</v>
      </c>
      <c r="Q316" s="13">
        <v>3.7059443606786346</v>
      </c>
      <c r="R316" s="11">
        <v>25</v>
      </c>
      <c r="S316" s="11">
        <v>100</v>
      </c>
      <c r="T316" s="12">
        <v>1435874.5430198673</v>
      </c>
      <c r="U316" s="12">
        <v>5743498</v>
      </c>
      <c r="V316" s="12">
        <v>4307623.4569801325</v>
      </c>
      <c r="W316" s="21">
        <v>0.25</v>
      </c>
      <c r="X316" s="21">
        <v>0.38186224316729489</v>
      </c>
      <c r="Y316" t="s">
        <v>385</v>
      </c>
    </row>
    <row r="317" spans="1:25" x14ac:dyDescent="0.2">
      <c r="A317" t="s">
        <v>333</v>
      </c>
      <c r="B317" t="s">
        <v>23</v>
      </c>
      <c r="C317" t="s">
        <v>175</v>
      </c>
      <c r="D317" t="s">
        <v>461</v>
      </c>
      <c r="E317" t="s">
        <v>939</v>
      </c>
      <c r="F317" s="10">
        <v>46023</v>
      </c>
      <c r="G317" s="10">
        <v>46112</v>
      </c>
      <c r="H317" s="3" t="s">
        <v>190</v>
      </c>
      <c r="I317" t="s">
        <v>28</v>
      </c>
      <c r="J317" s="2" t="s">
        <v>30</v>
      </c>
      <c r="K317" t="s">
        <v>948</v>
      </c>
      <c r="L317" s="31">
        <v>4.0666666666666664</v>
      </c>
      <c r="O317" s="12">
        <v>408648.46153846156</v>
      </c>
      <c r="P317" s="12">
        <v>1923076.923076923</v>
      </c>
      <c r="Q317" s="13">
        <v>3.7059443606786346</v>
      </c>
      <c r="R317" s="11">
        <v>25</v>
      </c>
      <c r="S317" s="11">
        <v>100</v>
      </c>
      <c r="T317" s="12">
        <v>1435874.5430198673</v>
      </c>
      <c r="U317" s="12">
        <v>5743498</v>
      </c>
      <c r="V317" s="12">
        <v>4307623.4569801325</v>
      </c>
      <c r="W317" s="21">
        <v>0.25</v>
      </c>
      <c r="X317" s="21">
        <v>0.38186224316729489</v>
      </c>
      <c r="Y317" t="s">
        <v>388</v>
      </c>
    </row>
    <row r="318" spans="1:25" x14ac:dyDescent="0.2">
      <c r="A318" t="s">
        <v>333</v>
      </c>
      <c r="B318" t="s">
        <v>23</v>
      </c>
      <c r="C318" t="s">
        <v>175</v>
      </c>
      <c r="D318" t="s">
        <v>461</v>
      </c>
      <c r="E318" t="s">
        <v>920</v>
      </c>
      <c r="F318" s="42">
        <v>46023</v>
      </c>
      <c r="G318" s="42">
        <v>46112</v>
      </c>
      <c r="H318" s="3" t="s">
        <v>190</v>
      </c>
      <c r="I318" t="s">
        <v>28</v>
      </c>
      <c r="J318" s="2" t="s">
        <v>30</v>
      </c>
      <c r="K318" t="s">
        <v>948</v>
      </c>
      <c r="L318" s="31">
        <v>2.9666666666666668</v>
      </c>
      <c r="M318" t="s">
        <v>471</v>
      </c>
      <c r="N318" t="s">
        <v>474</v>
      </c>
      <c r="O318" s="12">
        <v>408648.46153846156</v>
      </c>
      <c r="P318" s="12">
        <v>1923076.923076923</v>
      </c>
      <c r="Q318" s="13">
        <v>3.7059443606786346</v>
      </c>
      <c r="R318" s="11">
        <v>25</v>
      </c>
      <c r="S318" s="11">
        <v>100</v>
      </c>
      <c r="T318" s="12">
        <v>1435874.5430198673</v>
      </c>
      <c r="U318" s="12">
        <v>5743498</v>
      </c>
      <c r="V318" s="12">
        <v>4307623.4569801325</v>
      </c>
      <c r="W318" s="13">
        <v>0.25</v>
      </c>
      <c r="X318" s="23">
        <v>0.38186224316729489</v>
      </c>
      <c r="Y318" t="s">
        <v>391</v>
      </c>
    </row>
    <row r="319" spans="1:25" x14ac:dyDescent="0.2">
      <c r="A319" t="s">
        <v>475</v>
      </c>
      <c r="B319" t="s">
        <v>23</v>
      </c>
      <c r="C319" t="s">
        <v>175</v>
      </c>
      <c r="D319" t="s">
        <v>476</v>
      </c>
      <c r="E319" t="s">
        <v>940</v>
      </c>
      <c r="F319" s="10">
        <v>45778</v>
      </c>
      <c r="G319" s="10">
        <v>45930</v>
      </c>
      <c r="H319" s="3" t="s">
        <v>176</v>
      </c>
      <c r="I319" t="s">
        <v>28</v>
      </c>
      <c r="J319" s="2" t="s">
        <v>30</v>
      </c>
      <c r="K319" t="s">
        <v>948</v>
      </c>
      <c r="L319" s="31">
        <v>5.0666666666666664</v>
      </c>
      <c r="N319" t="s">
        <v>477</v>
      </c>
      <c r="O319" s="12">
        <v>128492.33333333333</v>
      </c>
      <c r="P319" s="12">
        <v>122839.50338542739</v>
      </c>
      <c r="Q319" s="20">
        <v>-4.3993519311704213E-2</v>
      </c>
      <c r="R319" s="11">
        <v>2</v>
      </c>
      <c r="S319" s="11">
        <v>11</v>
      </c>
      <c r="T319" s="12">
        <v>122839.50338542739</v>
      </c>
      <c r="U319" s="12">
        <v>614198</v>
      </c>
      <c r="V319" s="12">
        <v>491358.49661457259</v>
      </c>
      <c r="W319" s="20">
        <v>0.18181818181818182</v>
      </c>
      <c r="X319" s="21" t="s">
        <v>95</v>
      </c>
      <c r="Y319" t="s">
        <v>394</v>
      </c>
    </row>
    <row r="320" spans="1:25" x14ac:dyDescent="0.2">
      <c r="A320" t="s">
        <v>604</v>
      </c>
      <c r="B320" t="s">
        <v>23</v>
      </c>
      <c r="C320" t="s">
        <v>175</v>
      </c>
      <c r="D320" t="s">
        <v>71</v>
      </c>
      <c r="E320" t="s">
        <v>941</v>
      </c>
      <c r="H320" s="3" t="s">
        <v>144</v>
      </c>
      <c r="I320" t="s">
        <v>28</v>
      </c>
      <c r="J320" s="2" t="s">
        <v>30</v>
      </c>
      <c r="K320" t="s">
        <v>948</v>
      </c>
      <c r="O320" s="12">
        <v>0</v>
      </c>
      <c r="P320" s="12">
        <v>829435.7061982397</v>
      </c>
      <c r="Q320" s="20" t="s">
        <v>95</v>
      </c>
      <c r="R320" s="11">
        <v>10</v>
      </c>
      <c r="S320" s="11">
        <v>203</v>
      </c>
      <c r="T320" s="12">
        <v>829435.7061982397</v>
      </c>
      <c r="U320" s="12">
        <v>16588714</v>
      </c>
      <c r="V320" s="12">
        <v>15759278.29380176</v>
      </c>
      <c r="W320" s="21">
        <v>4.9261083743842367E-2</v>
      </c>
      <c r="X320" s="21">
        <v>0.54879953085814948</v>
      </c>
      <c r="Y320" t="s">
        <v>397</v>
      </c>
    </row>
    <row r="321" spans="1:25" x14ac:dyDescent="0.2">
      <c r="A321" t="s">
        <v>40</v>
      </c>
      <c r="B321" t="s">
        <v>23</v>
      </c>
      <c r="C321" t="s">
        <v>24</v>
      </c>
      <c r="D321" t="s">
        <v>41</v>
      </c>
      <c r="E321" t="s">
        <v>651</v>
      </c>
      <c r="F321" s="44">
        <v>45558</v>
      </c>
      <c r="G321" s="44">
        <v>45681</v>
      </c>
      <c r="H321" s="3" t="s">
        <v>43</v>
      </c>
      <c r="I321" t="s">
        <v>44</v>
      </c>
      <c r="J321" s="2" t="s">
        <v>30</v>
      </c>
      <c r="K321" t="s">
        <v>621</v>
      </c>
      <c r="L321" s="31">
        <v>4.0999999999999996</v>
      </c>
      <c r="N321" t="s">
        <v>46</v>
      </c>
      <c r="O321" s="12">
        <v>4445083</v>
      </c>
      <c r="P321" s="12">
        <v>1346688.6903645352</v>
      </c>
      <c r="Q321" s="13">
        <v>-0.69703857265105396</v>
      </c>
      <c r="R321" s="11">
        <v>20</v>
      </c>
      <c r="S321" s="11">
        <v>111</v>
      </c>
      <c r="T321" s="12">
        <v>1158659.6903645352</v>
      </c>
      <c r="U321" s="12">
        <v>6436998</v>
      </c>
      <c r="V321" s="12">
        <v>5278338.309635465</v>
      </c>
      <c r="W321" s="13">
        <v>0.18018018018018017</v>
      </c>
      <c r="X321" s="21">
        <v>0.34650362996126405</v>
      </c>
      <c r="Y321" t="s">
        <v>399</v>
      </c>
    </row>
    <row r="322" spans="1:25" x14ac:dyDescent="0.2">
      <c r="A322" t="s">
        <v>96</v>
      </c>
      <c r="B322" t="s">
        <v>97</v>
      </c>
      <c r="C322" t="s">
        <v>98</v>
      </c>
      <c r="D322" t="s">
        <v>99</v>
      </c>
      <c r="E322" t="s">
        <v>654</v>
      </c>
      <c r="F322" s="10">
        <v>45870</v>
      </c>
      <c r="G322" s="10">
        <v>45931</v>
      </c>
      <c r="H322" s="3" t="s">
        <v>100</v>
      </c>
      <c r="I322" t="s">
        <v>44</v>
      </c>
      <c r="J322" s="2" t="s">
        <v>30</v>
      </c>
      <c r="K322" t="s">
        <v>621</v>
      </c>
      <c r="L322" s="31">
        <v>2.0333333333333332</v>
      </c>
      <c r="N322" t="s">
        <v>101</v>
      </c>
      <c r="O322" s="12">
        <v>0</v>
      </c>
      <c r="P322" s="12" t="s">
        <v>951</v>
      </c>
      <c r="Q322" s="20" t="s">
        <v>95</v>
      </c>
      <c r="R322" s="11" t="s">
        <v>95</v>
      </c>
      <c r="S322" s="11" t="s">
        <v>95</v>
      </c>
      <c r="T322" s="12" t="s">
        <v>95</v>
      </c>
      <c r="U322" s="12" t="s">
        <v>95</v>
      </c>
      <c r="V322" s="12" t="s">
        <v>95</v>
      </c>
      <c r="W322" s="21" t="s">
        <v>95</v>
      </c>
      <c r="X322" s="21">
        <v>0.22734625458354665</v>
      </c>
      <c r="Y322" t="s">
        <v>401</v>
      </c>
    </row>
    <row r="323" spans="1:25" x14ac:dyDescent="0.2">
      <c r="A323" t="s">
        <v>105</v>
      </c>
      <c r="B323" t="s">
        <v>23</v>
      </c>
      <c r="C323" t="s">
        <v>106</v>
      </c>
      <c r="D323" t="s">
        <v>107</v>
      </c>
      <c r="E323" t="s">
        <v>720</v>
      </c>
      <c r="F323" s="10">
        <v>45658</v>
      </c>
      <c r="G323" s="10">
        <v>45737</v>
      </c>
      <c r="H323" s="3" t="s">
        <v>70</v>
      </c>
      <c r="I323" t="s">
        <v>44</v>
      </c>
      <c r="J323" s="2" t="s">
        <v>30</v>
      </c>
      <c r="K323" t="s">
        <v>621</v>
      </c>
      <c r="L323" s="31">
        <v>2.6333333333333333</v>
      </c>
      <c r="N323" t="s">
        <v>110</v>
      </c>
      <c r="O323" s="12">
        <v>85661.555555555562</v>
      </c>
      <c r="P323" s="12">
        <v>202222.22222222222</v>
      </c>
      <c r="Q323" s="20">
        <v>1.3607115340214848</v>
      </c>
      <c r="R323" s="11" t="s">
        <v>95</v>
      </c>
      <c r="S323" s="11">
        <v>0</v>
      </c>
      <c r="T323" s="12">
        <v>0</v>
      </c>
      <c r="U323" s="12">
        <v>0</v>
      </c>
      <c r="V323" s="12">
        <v>0</v>
      </c>
      <c r="W323" s="21" t="s">
        <v>95</v>
      </c>
      <c r="X323" s="21" t="s">
        <v>95</v>
      </c>
      <c r="Y323" t="s">
        <v>403</v>
      </c>
    </row>
    <row r="324" spans="1:25" x14ac:dyDescent="0.2">
      <c r="A324" t="s">
        <v>105</v>
      </c>
      <c r="B324" t="s">
        <v>23</v>
      </c>
      <c r="C324" t="s">
        <v>106</v>
      </c>
      <c r="D324" t="s">
        <v>107</v>
      </c>
      <c r="E324" t="s">
        <v>721</v>
      </c>
      <c r="F324" s="10">
        <v>45684</v>
      </c>
      <c r="G324" s="10">
        <v>45744</v>
      </c>
      <c r="H324" s="3" t="s">
        <v>70</v>
      </c>
      <c r="I324" t="s">
        <v>44</v>
      </c>
      <c r="J324" s="2" t="s">
        <v>30</v>
      </c>
      <c r="K324" t="s">
        <v>621</v>
      </c>
      <c r="L324" s="31">
        <v>2</v>
      </c>
      <c r="N324" t="s">
        <v>112</v>
      </c>
      <c r="O324" s="12">
        <v>85661.555555555562</v>
      </c>
      <c r="P324" s="12">
        <v>202222.22222222222</v>
      </c>
      <c r="Q324" s="20">
        <v>1.3607115340214848</v>
      </c>
      <c r="R324" s="11" t="s">
        <v>95</v>
      </c>
      <c r="S324" s="11">
        <v>0</v>
      </c>
      <c r="T324" s="12">
        <v>0</v>
      </c>
      <c r="U324" s="12">
        <v>0</v>
      </c>
      <c r="V324" s="12">
        <v>0</v>
      </c>
      <c r="W324" s="21" t="s">
        <v>95</v>
      </c>
      <c r="X324" s="21" t="s">
        <v>95</v>
      </c>
      <c r="Y324" t="s">
        <v>405</v>
      </c>
    </row>
    <row r="325" spans="1:25" x14ac:dyDescent="0.2">
      <c r="A325" t="s">
        <v>147</v>
      </c>
      <c r="B325" t="s">
        <v>97</v>
      </c>
      <c r="C325" t="s">
        <v>106</v>
      </c>
      <c r="D325" t="s">
        <v>134</v>
      </c>
      <c r="E325" t="s">
        <v>722</v>
      </c>
      <c r="F325" s="10">
        <v>45292</v>
      </c>
      <c r="G325" s="10">
        <v>45657</v>
      </c>
      <c r="H325" s="3" t="s">
        <v>70</v>
      </c>
      <c r="I325" t="s">
        <v>44</v>
      </c>
      <c r="J325" s="2" t="s">
        <v>30</v>
      </c>
      <c r="K325" t="s">
        <v>621</v>
      </c>
      <c r="O325" s="12">
        <v>3690000</v>
      </c>
      <c r="P325" s="12">
        <v>0</v>
      </c>
      <c r="Q325" s="13">
        <v>-1</v>
      </c>
      <c r="R325" s="11" t="s">
        <v>95</v>
      </c>
      <c r="S325" s="11">
        <v>0</v>
      </c>
      <c r="T325" s="12">
        <v>0</v>
      </c>
      <c r="U325" s="12">
        <v>0</v>
      </c>
      <c r="V325" s="12">
        <v>0</v>
      </c>
      <c r="W325" s="21" t="s">
        <v>95</v>
      </c>
      <c r="X325" s="21" t="s">
        <v>95</v>
      </c>
      <c r="Y325" t="s">
        <v>440</v>
      </c>
    </row>
    <row r="326" spans="1:25" x14ac:dyDescent="0.2">
      <c r="A326" t="s">
        <v>153</v>
      </c>
      <c r="B326" t="s">
        <v>97</v>
      </c>
      <c r="C326" t="s">
        <v>106</v>
      </c>
      <c r="D326" t="s">
        <v>134</v>
      </c>
      <c r="E326" t="s">
        <v>723</v>
      </c>
      <c r="F326" s="10">
        <v>45531</v>
      </c>
      <c r="G326" s="10">
        <v>45869</v>
      </c>
      <c r="H326" s="3" t="s">
        <v>70</v>
      </c>
      <c r="I326" t="s">
        <v>44</v>
      </c>
      <c r="J326" s="2" t="s">
        <v>30</v>
      </c>
      <c r="K326" t="s">
        <v>621</v>
      </c>
      <c r="L326" s="31">
        <v>11.266666666666667</v>
      </c>
      <c r="O326" s="12">
        <v>840000</v>
      </c>
      <c r="P326" s="12">
        <v>0</v>
      </c>
      <c r="Q326" s="20">
        <v>-1</v>
      </c>
      <c r="R326" s="11" t="s">
        <v>95</v>
      </c>
      <c r="S326" s="11">
        <v>0</v>
      </c>
      <c r="T326" s="12">
        <v>0</v>
      </c>
      <c r="U326" s="12">
        <v>0</v>
      </c>
      <c r="V326" s="12">
        <v>0</v>
      </c>
      <c r="W326" s="21" t="s">
        <v>95</v>
      </c>
      <c r="X326" s="21" t="s">
        <v>95</v>
      </c>
      <c r="Y326" t="s">
        <v>447</v>
      </c>
    </row>
    <row r="327" spans="1:25" x14ac:dyDescent="0.2">
      <c r="A327" t="s">
        <v>154</v>
      </c>
      <c r="B327" t="s">
        <v>97</v>
      </c>
      <c r="C327" t="s">
        <v>106</v>
      </c>
      <c r="D327" t="s">
        <v>134</v>
      </c>
      <c r="E327" t="s">
        <v>724</v>
      </c>
      <c r="F327" s="10">
        <v>45565</v>
      </c>
      <c r="G327" s="10">
        <v>45657</v>
      </c>
      <c r="H327" s="3" t="s">
        <v>70</v>
      </c>
      <c r="I327" t="s">
        <v>44</v>
      </c>
      <c r="J327" s="2" t="s">
        <v>30</v>
      </c>
      <c r="K327" t="s">
        <v>621</v>
      </c>
      <c r="L327" s="31">
        <v>3.0666666666666669</v>
      </c>
      <c r="O327" s="12">
        <v>5820792</v>
      </c>
      <c r="P327" s="12">
        <v>0</v>
      </c>
      <c r="Q327" s="20">
        <v>-1</v>
      </c>
      <c r="R327" s="11" t="s">
        <v>95</v>
      </c>
      <c r="S327" s="11">
        <v>0</v>
      </c>
      <c r="T327" s="12">
        <v>0</v>
      </c>
      <c r="U327" s="12">
        <v>0</v>
      </c>
      <c r="V327" s="12">
        <v>0</v>
      </c>
      <c r="W327" s="21" t="s">
        <v>95</v>
      </c>
      <c r="X327" s="21" t="s">
        <v>95</v>
      </c>
      <c r="Y327" t="s">
        <v>453</v>
      </c>
    </row>
    <row r="328" spans="1:25" x14ac:dyDescent="0.2">
      <c r="A328" t="s">
        <v>155</v>
      </c>
      <c r="B328" t="s">
        <v>97</v>
      </c>
      <c r="C328" t="s">
        <v>106</v>
      </c>
      <c r="D328" t="s">
        <v>134</v>
      </c>
      <c r="E328" t="s">
        <v>725</v>
      </c>
      <c r="F328" s="10">
        <v>45565</v>
      </c>
      <c r="G328" s="10">
        <v>45657</v>
      </c>
      <c r="H328" s="3" t="s">
        <v>70</v>
      </c>
      <c r="I328" t="s">
        <v>44</v>
      </c>
      <c r="J328" s="2" t="s">
        <v>30</v>
      </c>
      <c r="K328" t="s">
        <v>621</v>
      </c>
      <c r="L328" s="31">
        <v>3.0666666666666669</v>
      </c>
      <c r="O328" s="12">
        <v>1028000</v>
      </c>
      <c r="P328" s="12">
        <v>0</v>
      </c>
      <c r="Q328" s="20">
        <v>-1</v>
      </c>
      <c r="R328" s="11" t="s">
        <v>95</v>
      </c>
      <c r="S328" s="11">
        <v>0</v>
      </c>
      <c r="T328" s="12">
        <v>0</v>
      </c>
      <c r="U328" s="12">
        <v>0</v>
      </c>
      <c r="V328" s="12">
        <v>0</v>
      </c>
      <c r="W328" s="21" t="s">
        <v>95</v>
      </c>
      <c r="X328" s="21" t="s">
        <v>95</v>
      </c>
      <c r="Y328" t="s">
        <v>454</v>
      </c>
    </row>
    <row r="329" spans="1:25" x14ac:dyDescent="0.2">
      <c r="A329" t="s">
        <v>156</v>
      </c>
      <c r="B329" t="s">
        <v>97</v>
      </c>
      <c r="C329" t="s">
        <v>106</v>
      </c>
      <c r="D329" t="s">
        <v>134</v>
      </c>
      <c r="E329" t="s">
        <v>726</v>
      </c>
      <c r="F329" s="10">
        <v>45565</v>
      </c>
      <c r="G329" s="10">
        <v>45657</v>
      </c>
      <c r="H329" s="3" t="s">
        <v>70</v>
      </c>
      <c r="I329" t="s">
        <v>44</v>
      </c>
      <c r="J329" s="2" t="s">
        <v>30</v>
      </c>
      <c r="K329" t="s">
        <v>621</v>
      </c>
      <c r="L329" s="31">
        <v>3.0666666666666669</v>
      </c>
      <c r="O329" s="12">
        <v>676062</v>
      </c>
      <c r="P329" s="12">
        <v>0</v>
      </c>
      <c r="Q329" s="20">
        <v>-1</v>
      </c>
      <c r="R329" s="11" t="s">
        <v>95</v>
      </c>
      <c r="S329" s="11">
        <v>0</v>
      </c>
      <c r="T329" s="12">
        <v>0</v>
      </c>
      <c r="U329" s="12">
        <v>0</v>
      </c>
      <c r="V329" s="12">
        <v>0</v>
      </c>
      <c r="W329" s="21" t="s">
        <v>95</v>
      </c>
      <c r="X329" s="21" t="s">
        <v>95</v>
      </c>
      <c r="Y329" t="s">
        <v>95</v>
      </c>
    </row>
    <row r="330" spans="1:25" x14ac:dyDescent="0.2">
      <c r="A330" t="s">
        <v>173</v>
      </c>
      <c r="B330" t="s">
        <v>23</v>
      </c>
      <c r="C330" t="s">
        <v>106</v>
      </c>
      <c r="D330" t="s">
        <v>107</v>
      </c>
      <c r="E330" t="s">
        <v>727</v>
      </c>
      <c r="F330" s="10">
        <v>45382</v>
      </c>
      <c r="G330" s="10">
        <v>45657</v>
      </c>
      <c r="H330" s="3" t="s">
        <v>70</v>
      </c>
      <c r="I330" t="s">
        <v>44</v>
      </c>
      <c r="J330" s="2" t="s">
        <v>30</v>
      </c>
      <c r="K330" t="s">
        <v>621</v>
      </c>
      <c r="L330" s="31">
        <v>9.1666666666666661</v>
      </c>
      <c r="O330" s="12">
        <v>676000</v>
      </c>
      <c r="P330" s="12">
        <v>1260360</v>
      </c>
      <c r="Q330" s="20">
        <v>0.86443786982248516</v>
      </c>
      <c r="R330" s="11" t="s">
        <v>95</v>
      </c>
      <c r="S330" s="11">
        <v>0</v>
      </c>
      <c r="T330" s="12">
        <v>0</v>
      </c>
      <c r="U330" s="12">
        <v>0</v>
      </c>
      <c r="V330" s="12">
        <v>0</v>
      </c>
      <c r="W330" s="21" t="s">
        <v>95</v>
      </c>
      <c r="X330" s="21" t="s">
        <v>95</v>
      </c>
      <c r="Y330" t="s">
        <v>95</v>
      </c>
    </row>
    <row r="331" spans="1:25" x14ac:dyDescent="0.2">
      <c r="A331" t="s">
        <v>167</v>
      </c>
      <c r="B331" t="s">
        <v>23</v>
      </c>
      <c r="C331" t="s">
        <v>106</v>
      </c>
      <c r="D331" t="s">
        <v>163</v>
      </c>
      <c r="E331" t="e">
        <v>#N/A</v>
      </c>
      <c r="F331" s="10">
        <v>45870</v>
      </c>
      <c r="G331" s="10">
        <v>45899</v>
      </c>
      <c r="H331" s="3" t="s">
        <v>70</v>
      </c>
      <c r="I331" t="s">
        <v>44</v>
      </c>
      <c r="J331" s="2" t="s">
        <v>30</v>
      </c>
      <c r="K331" t="s">
        <v>621</v>
      </c>
      <c r="O331" s="12">
        <v>0</v>
      </c>
      <c r="P331" s="12" t="s">
        <v>951</v>
      </c>
      <c r="Q331" s="20" t="s">
        <v>95</v>
      </c>
      <c r="R331" s="11" t="s">
        <v>95</v>
      </c>
      <c r="S331" s="11" t="s">
        <v>95</v>
      </c>
      <c r="T331" s="12" t="s">
        <v>95</v>
      </c>
      <c r="U331" s="12" t="s">
        <v>95</v>
      </c>
      <c r="V331" s="12" t="s">
        <v>95</v>
      </c>
      <c r="W331" s="20" t="s">
        <v>95</v>
      </c>
      <c r="X331" s="21" t="s">
        <v>95</v>
      </c>
      <c r="Y331" t="s">
        <v>95</v>
      </c>
    </row>
    <row r="332" spans="1:25" x14ac:dyDescent="0.2">
      <c r="B332" t="s">
        <v>23</v>
      </c>
      <c r="C332" t="s">
        <v>203</v>
      </c>
      <c r="D332" t="s">
        <v>129</v>
      </c>
      <c r="E332" t="s">
        <v>768</v>
      </c>
      <c r="F332" s="10">
        <v>45822</v>
      </c>
      <c r="G332" s="10">
        <v>45912</v>
      </c>
      <c r="H332" s="3" t="s">
        <v>137</v>
      </c>
      <c r="I332" t="s">
        <v>44</v>
      </c>
      <c r="J332" s="2" t="s">
        <v>30</v>
      </c>
      <c r="K332" t="s">
        <v>621</v>
      </c>
      <c r="N332" t="s">
        <v>250</v>
      </c>
      <c r="O332" s="12">
        <v>0</v>
      </c>
      <c r="P332" s="12" t="s">
        <v>951</v>
      </c>
      <c r="Q332" s="20" t="s">
        <v>95</v>
      </c>
      <c r="R332" s="11" t="s">
        <v>95</v>
      </c>
      <c r="S332" s="11" t="s">
        <v>95</v>
      </c>
      <c r="T332" s="12" t="s">
        <v>95</v>
      </c>
      <c r="U332" s="12" t="s">
        <v>95</v>
      </c>
      <c r="V332" s="12" t="s">
        <v>95</v>
      </c>
      <c r="W332" s="21" t="s">
        <v>95</v>
      </c>
      <c r="X332" s="21">
        <v>0.27608748713747122</v>
      </c>
      <c r="Y332" t="s">
        <v>95</v>
      </c>
    </row>
    <row r="333" spans="1:25" x14ac:dyDescent="0.2">
      <c r="A333" t="s">
        <v>268</v>
      </c>
      <c r="B333" t="s">
        <v>23</v>
      </c>
      <c r="C333" t="s">
        <v>203</v>
      </c>
      <c r="D333" t="s">
        <v>129</v>
      </c>
      <c r="E333" t="s">
        <v>769</v>
      </c>
      <c r="F333" s="10">
        <v>45383</v>
      </c>
      <c r="G333" s="19">
        <v>45930</v>
      </c>
      <c r="H333" s="3" t="s">
        <v>137</v>
      </c>
      <c r="I333" t="s">
        <v>44</v>
      </c>
      <c r="J333" s="2" t="s">
        <v>30</v>
      </c>
      <c r="K333" t="s">
        <v>621</v>
      </c>
      <c r="L333" s="31">
        <v>18.266666666666666</v>
      </c>
      <c r="N333" t="s">
        <v>270</v>
      </c>
      <c r="O333" s="12">
        <v>692208</v>
      </c>
      <c r="P333" s="12">
        <v>1835800</v>
      </c>
      <c r="Q333" s="13">
        <v>1.6520930125049118</v>
      </c>
      <c r="R333" s="11">
        <v>0</v>
      </c>
      <c r="S333" s="11">
        <v>1143</v>
      </c>
      <c r="T333" s="12">
        <v>0</v>
      </c>
      <c r="U333" s="12">
        <v>64890583</v>
      </c>
      <c r="V333" s="12">
        <v>64890583</v>
      </c>
      <c r="W333" s="21">
        <v>0</v>
      </c>
      <c r="X333" s="21">
        <v>0.27608748713747122</v>
      </c>
      <c r="Y333" t="s">
        <v>95</v>
      </c>
    </row>
    <row r="334" spans="1:25" x14ac:dyDescent="0.2">
      <c r="B334" t="s">
        <v>23</v>
      </c>
      <c r="C334" t="s">
        <v>203</v>
      </c>
      <c r="D334" t="s">
        <v>129</v>
      </c>
      <c r="E334" t="s">
        <v>770</v>
      </c>
      <c r="F334" s="10">
        <v>45383</v>
      </c>
      <c r="G334" s="19">
        <v>45930</v>
      </c>
      <c r="H334" s="3" t="s">
        <v>137</v>
      </c>
      <c r="I334" t="s">
        <v>44</v>
      </c>
      <c r="J334" s="2" t="s">
        <v>30</v>
      </c>
      <c r="K334" t="s">
        <v>621</v>
      </c>
      <c r="L334" s="31">
        <v>18.266666666666666</v>
      </c>
      <c r="N334" t="s">
        <v>272</v>
      </c>
      <c r="O334" s="12">
        <v>0</v>
      </c>
      <c r="P334" s="12" t="s">
        <v>951</v>
      </c>
      <c r="Q334" s="20" t="s">
        <v>95</v>
      </c>
      <c r="R334" s="11" t="s">
        <v>95</v>
      </c>
      <c r="S334" s="11" t="s">
        <v>95</v>
      </c>
      <c r="T334" s="12" t="s">
        <v>95</v>
      </c>
      <c r="U334" s="12" t="s">
        <v>95</v>
      </c>
      <c r="V334" s="12" t="s">
        <v>95</v>
      </c>
      <c r="W334" s="21" t="s">
        <v>95</v>
      </c>
      <c r="X334" s="21">
        <v>0.27608748713747122</v>
      </c>
      <c r="Y334" t="s">
        <v>95</v>
      </c>
    </row>
    <row r="335" spans="1:25" x14ac:dyDescent="0.2">
      <c r="B335" t="s">
        <v>23</v>
      </c>
      <c r="C335" t="s">
        <v>203</v>
      </c>
      <c r="D335" t="s">
        <v>129</v>
      </c>
      <c r="E335" t="s">
        <v>771</v>
      </c>
      <c r="F335" s="10">
        <v>45565</v>
      </c>
      <c r="G335" s="10">
        <v>45657</v>
      </c>
      <c r="H335" s="3" t="s">
        <v>137</v>
      </c>
      <c r="I335" t="s">
        <v>44</v>
      </c>
      <c r="J335" s="2" t="s">
        <v>30</v>
      </c>
      <c r="K335" t="s">
        <v>621</v>
      </c>
      <c r="L335" s="31">
        <v>3.0666666666666669</v>
      </c>
      <c r="N335" t="s">
        <v>274</v>
      </c>
      <c r="O335" s="12">
        <v>0</v>
      </c>
      <c r="P335" s="12" t="s">
        <v>951</v>
      </c>
      <c r="Q335" s="20" t="s">
        <v>95</v>
      </c>
      <c r="R335" s="11" t="s">
        <v>95</v>
      </c>
      <c r="S335" s="11" t="s">
        <v>95</v>
      </c>
      <c r="T335" s="12" t="s">
        <v>95</v>
      </c>
      <c r="U335" s="12" t="s">
        <v>95</v>
      </c>
      <c r="V335" s="12" t="s">
        <v>95</v>
      </c>
      <c r="W335" s="21" t="s">
        <v>95</v>
      </c>
      <c r="X335" s="21">
        <v>0.27608748713747122</v>
      </c>
      <c r="Y335" t="s">
        <v>95</v>
      </c>
    </row>
    <row r="336" spans="1:25" x14ac:dyDescent="0.2">
      <c r="A336" t="s">
        <v>310</v>
      </c>
      <c r="B336" t="s">
        <v>23</v>
      </c>
      <c r="C336" t="s">
        <v>280</v>
      </c>
      <c r="D336" t="s">
        <v>295</v>
      </c>
      <c r="E336" t="s">
        <v>808</v>
      </c>
      <c r="F336" s="44">
        <v>45557</v>
      </c>
      <c r="G336" s="44">
        <v>45816</v>
      </c>
      <c r="H336" s="3" t="s">
        <v>100</v>
      </c>
      <c r="I336" t="s">
        <v>44</v>
      </c>
      <c r="J336" s="2" t="s">
        <v>30</v>
      </c>
      <c r="K336" t="s">
        <v>621</v>
      </c>
      <c r="L336" s="31">
        <v>8.6333333333333329</v>
      </c>
      <c r="N336" t="s">
        <v>313</v>
      </c>
      <c r="O336" s="12">
        <v>192738</v>
      </c>
      <c r="P336" s="12">
        <v>1781874</v>
      </c>
      <c r="Q336" s="13">
        <v>8.245058058089219</v>
      </c>
      <c r="R336" s="11">
        <v>30</v>
      </c>
      <c r="S336" s="11">
        <v>346</v>
      </c>
      <c r="T336" s="12">
        <v>1235687.7898511663</v>
      </c>
      <c r="U336" s="12">
        <v>14041907</v>
      </c>
      <c r="V336" s="12">
        <v>12806219.210148834</v>
      </c>
      <c r="W336" s="21">
        <v>8.6705202312138727E-2</v>
      </c>
      <c r="X336" s="21">
        <v>0.22734625458354665</v>
      </c>
      <c r="Y336" t="s">
        <v>95</v>
      </c>
    </row>
    <row r="337" spans="1:25" x14ac:dyDescent="0.2">
      <c r="A337" t="s">
        <v>314</v>
      </c>
      <c r="B337" t="s">
        <v>23</v>
      </c>
      <c r="C337" t="s">
        <v>280</v>
      </c>
      <c r="D337" t="s">
        <v>295</v>
      </c>
      <c r="E337" t="s">
        <v>809</v>
      </c>
      <c r="H337" s="3" t="s">
        <v>100</v>
      </c>
      <c r="I337" t="s">
        <v>44</v>
      </c>
      <c r="J337" s="2" t="s">
        <v>30</v>
      </c>
      <c r="K337" t="s">
        <v>621</v>
      </c>
      <c r="O337" s="12">
        <v>37500</v>
      </c>
      <c r="P337" s="12">
        <v>1781874</v>
      </c>
      <c r="Q337" s="13">
        <v>46.516640000000002</v>
      </c>
      <c r="R337" s="11">
        <v>30</v>
      </c>
      <c r="S337" s="11">
        <v>346</v>
      </c>
      <c r="T337" s="12">
        <v>1235687.7898511663</v>
      </c>
      <c r="U337" s="12">
        <v>14041907</v>
      </c>
      <c r="V337" s="12">
        <v>12806219.210148834</v>
      </c>
      <c r="W337" s="21">
        <v>8.6705202312138727E-2</v>
      </c>
      <c r="X337" s="21">
        <v>0.22734625458354665</v>
      </c>
      <c r="Y337" t="s">
        <v>95</v>
      </c>
    </row>
    <row r="338" spans="1:25" x14ac:dyDescent="0.2">
      <c r="A338" t="s">
        <v>386</v>
      </c>
      <c r="B338" t="s">
        <v>131</v>
      </c>
      <c r="C338" t="s">
        <v>175</v>
      </c>
      <c r="D338" t="s">
        <v>149</v>
      </c>
      <c r="E338" t="s">
        <v>942</v>
      </c>
      <c r="F338" s="44">
        <v>45513</v>
      </c>
      <c r="G338" s="44">
        <v>45868</v>
      </c>
      <c r="H338" s="3" t="s">
        <v>139</v>
      </c>
      <c r="I338" t="s">
        <v>44</v>
      </c>
      <c r="J338" s="2" t="s">
        <v>30</v>
      </c>
      <c r="K338" t="s">
        <v>621</v>
      </c>
      <c r="L338" s="31">
        <v>11.833333333333334</v>
      </c>
      <c r="N338" t="s">
        <v>388</v>
      </c>
      <c r="O338" s="12">
        <v>0</v>
      </c>
      <c r="P338" s="12">
        <v>850000</v>
      </c>
      <c r="Q338" s="20" t="s">
        <v>95</v>
      </c>
      <c r="R338" s="11" t="s">
        <v>95</v>
      </c>
      <c r="S338" s="11">
        <v>0</v>
      </c>
      <c r="T338" s="12">
        <v>0</v>
      </c>
      <c r="U338" s="12">
        <v>0</v>
      </c>
      <c r="V338" s="12">
        <v>0</v>
      </c>
      <c r="W338" s="21" t="s">
        <v>95</v>
      </c>
      <c r="X338" s="21">
        <v>0.44084891187851694</v>
      </c>
      <c r="Y338" t="s">
        <v>451</v>
      </c>
    </row>
    <row r="339" spans="1:25" x14ac:dyDescent="0.2">
      <c r="A339" t="s">
        <v>389</v>
      </c>
      <c r="B339" t="s">
        <v>23</v>
      </c>
      <c r="C339" t="s">
        <v>175</v>
      </c>
      <c r="D339" t="s">
        <v>149</v>
      </c>
      <c r="E339" t="s">
        <v>943</v>
      </c>
      <c r="F339" s="44">
        <v>45292</v>
      </c>
      <c r="G339" s="44">
        <v>45657</v>
      </c>
      <c r="H339" s="3" t="s">
        <v>139</v>
      </c>
      <c r="I339" t="s">
        <v>44</v>
      </c>
      <c r="J339" s="2" t="s">
        <v>30</v>
      </c>
      <c r="K339" t="s">
        <v>621</v>
      </c>
      <c r="L339" s="31">
        <v>12.166666666666666</v>
      </c>
      <c r="N339" t="s">
        <v>391</v>
      </c>
      <c r="O339" s="12">
        <v>2000000</v>
      </c>
      <c r="P339" s="12">
        <v>2175660</v>
      </c>
      <c r="Q339" s="13">
        <v>8.7830000000000005E-2</v>
      </c>
      <c r="R339" s="11" t="s">
        <v>95</v>
      </c>
      <c r="S339" s="11">
        <v>0</v>
      </c>
      <c r="T339" s="12">
        <v>0</v>
      </c>
      <c r="U339" s="12">
        <v>0</v>
      </c>
      <c r="V339" s="12">
        <v>0</v>
      </c>
      <c r="W339" s="21" t="s">
        <v>95</v>
      </c>
      <c r="X339" s="21">
        <v>0.44084891187851694</v>
      </c>
      <c r="Y339" s="15" t="s">
        <v>452</v>
      </c>
    </row>
    <row r="340" spans="1:25" x14ac:dyDescent="0.2">
      <c r="A340" t="s">
        <v>441</v>
      </c>
      <c r="B340" t="s">
        <v>23</v>
      </c>
      <c r="C340" t="s">
        <v>175</v>
      </c>
      <c r="D340" t="s">
        <v>71</v>
      </c>
      <c r="E340" t="s">
        <v>944</v>
      </c>
      <c r="F340" s="10">
        <v>45382</v>
      </c>
      <c r="G340" s="10">
        <v>45657</v>
      </c>
      <c r="H340" s="3" t="s">
        <v>216</v>
      </c>
      <c r="I340" t="s">
        <v>44</v>
      </c>
      <c r="J340" s="2" t="s">
        <v>30</v>
      </c>
      <c r="K340" t="s">
        <v>621</v>
      </c>
      <c r="O340" s="12">
        <v>676062</v>
      </c>
      <c r="P340" s="12">
        <v>656217</v>
      </c>
      <c r="Q340" s="13">
        <v>-2.9353816661785458E-2</v>
      </c>
      <c r="R340" s="11" t="s">
        <v>95</v>
      </c>
      <c r="S340" s="11">
        <v>0</v>
      </c>
      <c r="T340" s="12">
        <v>0</v>
      </c>
      <c r="U340" s="12">
        <v>0</v>
      </c>
      <c r="V340" s="12">
        <v>0</v>
      </c>
      <c r="W340" s="21" t="s">
        <v>95</v>
      </c>
      <c r="X340" s="21">
        <v>0.49613900866607147</v>
      </c>
      <c r="Y340" t="s">
        <v>95</v>
      </c>
    </row>
  </sheetData>
  <autoFilter ref="A1:X340" xr:uid="{3C4EB9F7-C0EE-DB4E-9531-A28A78219B0D}">
    <sortState xmlns:xlrd2="http://schemas.microsoft.com/office/spreadsheetml/2017/richdata2" ref="A2:X340">
      <sortCondition ref="I1:I340"/>
    </sortState>
  </autoFilter>
  <sortState xmlns:xlrd2="http://schemas.microsoft.com/office/spreadsheetml/2017/richdata2" ref="A2:Y340">
    <sortCondition ref="C2:C340"/>
    <sortCondition ref="I2:I340"/>
    <sortCondition ref="J2:J340"/>
  </sortState>
  <phoneticPr fontId="16" type="noConversion"/>
  <dataValidations count="2">
    <dataValidation type="list" allowBlank="1" showInputMessage="1" showErrorMessage="1" sqref="C289 C293:C303 C160:C283 C333:C339 C3:C91 C102:C147" xr:uid="{C971884D-677E-E345-A287-BDDD891FF489}">
      <formula1>#REF!</formula1>
    </dataValidation>
    <dataValidation type="list" allowBlank="1" showInputMessage="1" showErrorMessage="1" sqref="B1 B3:B303 H293:H303 H289 H3:H285 D289 D163:D283 D34:D88 D3:D30 D102:D147" xr:uid="{CB2A6354-114C-1A49-9C16-3307D8EB9472}">
      <formula1>#REF!</formula1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E2C7-FBA9-D844-815F-D989D1D833C3}">
  <dimension ref="A1:Y155"/>
  <sheetViews>
    <sheetView zoomScale="130" zoomScaleNormal="130" workbookViewId="0">
      <pane ySplit="1" topLeftCell="A2" activePane="bottomLeft" state="frozen"/>
      <selection pane="bottomLeft" activeCell="Q22" sqref="A1:Y155"/>
    </sheetView>
  </sheetViews>
  <sheetFormatPr baseColWidth="10" defaultColWidth="8.6640625" defaultRowHeight="15" x14ac:dyDescent="0.2"/>
  <cols>
    <col min="1" max="1" width="12" customWidth="1"/>
    <col min="2" max="2" width="14.6640625" customWidth="1"/>
    <col min="3" max="3" width="22.6640625" customWidth="1"/>
    <col min="4" max="4" width="61" hidden="1" customWidth="1"/>
    <col min="5" max="5" width="48" customWidth="1"/>
    <col min="6" max="6" width="22.5" hidden="1" customWidth="1"/>
    <col min="7" max="7" width="29" style="3" customWidth="1"/>
    <col min="8" max="8" width="14.1640625" customWidth="1"/>
    <col min="9" max="9" width="16.6640625" style="2" customWidth="1"/>
    <col min="10" max="10" width="20.6640625" hidden="1" customWidth="1"/>
    <col min="11" max="11" width="1.6640625" customWidth="1"/>
    <col min="12" max="14" width="8.5" customWidth="1"/>
    <col min="16" max="16" width="12" customWidth="1"/>
    <col min="17" max="18" width="14.6640625" customWidth="1"/>
    <col min="19" max="19" width="7" customWidth="1"/>
    <col min="20" max="23" width="12.6640625" customWidth="1"/>
    <col min="24" max="24" width="16.5" customWidth="1"/>
    <col min="25" max="25" width="14.5" customWidth="1"/>
  </cols>
  <sheetData>
    <row r="1" spans="1:25" s="8" customFormat="1" ht="48" x14ac:dyDescent="0.2">
      <c r="A1" s="5" t="s">
        <v>1</v>
      </c>
      <c r="B1" s="5" t="s">
        <v>2</v>
      </c>
      <c r="C1" s="5" t="s">
        <v>528</v>
      </c>
      <c r="D1" s="5" t="s">
        <v>529</v>
      </c>
      <c r="E1" s="5" t="s">
        <v>530</v>
      </c>
      <c r="F1" s="5" t="s">
        <v>0</v>
      </c>
      <c r="G1" s="6" t="s">
        <v>481</v>
      </c>
      <c r="H1" s="5" t="s">
        <v>518</v>
      </c>
      <c r="I1" s="7" t="s">
        <v>4</v>
      </c>
      <c r="J1" s="5" t="s">
        <v>5</v>
      </c>
      <c r="K1" s="9"/>
      <c r="L1" s="5" t="s">
        <v>6</v>
      </c>
      <c r="M1" s="5" t="s">
        <v>7</v>
      </c>
      <c r="N1" s="5" t="s">
        <v>8</v>
      </c>
      <c r="O1" s="9"/>
      <c r="P1" s="5" t="s">
        <v>11</v>
      </c>
      <c r="Q1" s="5" t="s">
        <v>12</v>
      </c>
      <c r="R1" s="5" t="s">
        <v>13</v>
      </c>
      <c r="T1" s="5" t="s">
        <v>531</v>
      </c>
      <c r="U1" s="5" t="s">
        <v>514</v>
      </c>
      <c r="V1" s="5" t="s">
        <v>515</v>
      </c>
      <c r="W1" s="5" t="s">
        <v>19</v>
      </c>
      <c r="X1" s="5" t="s">
        <v>516</v>
      </c>
      <c r="Y1" s="5" t="s">
        <v>21</v>
      </c>
    </row>
    <row r="2" spans="1:25" x14ac:dyDescent="0.2">
      <c r="A2" t="s">
        <v>97</v>
      </c>
      <c r="B2" t="s">
        <v>98</v>
      </c>
      <c r="C2" t="s">
        <v>160</v>
      </c>
      <c r="D2" t="s">
        <v>525</v>
      </c>
      <c r="E2" t="str">
        <f t="shared" ref="E2:E33" si="0">TRIM(MID(D2,FIND(":",D2)+1,LEN(D2)))</f>
        <v>Artiva Integration POC</v>
      </c>
      <c r="G2" s="3" t="s">
        <v>100</v>
      </c>
      <c r="H2" t="s">
        <v>28</v>
      </c>
      <c r="I2" s="2" t="s">
        <v>29</v>
      </c>
      <c r="R2" t="e">
        <f>(Q2-P2)/P2</f>
        <v>#DIV/0!</v>
      </c>
      <c r="W2" t="e">
        <f>T2/V2</f>
        <v>#DIV/0!</v>
      </c>
    </row>
    <row r="3" spans="1:25" x14ac:dyDescent="0.2">
      <c r="A3" t="s">
        <v>97</v>
      </c>
      <c r="B3" t="s">
        <v>98</v>
      </c>
      <c r="C3" t="s">
        <v>160</v>
      </c>
      <c r="D3" t="s">
        <v>103</v>
      </c>
      <c r="E3" t="str">
        <f t="shared" si="0"/>
        <v>Credits adjustments automation</v>
      </c>
      <c r="G3" s="3" t="s">
        <v>104</v>
      </c>
      <c r="H3" t="s">
        <v>28</v>
      </c>
      <c r="I3" s="2" t="s">
        <v>29</v>
      </c>
    </row>
    <row r="4" spans="1:25" x14ac:dyDescent="0.2">
      <c r="A4" t="s">
        <v>97</v>
      </c>
      <c r="B4" t="s">
        <v>106</v>
      </c>
      <c r="C4" t="s">
        <v>134</v>
      </c>
      <c r="D4" t="s">
        <v>158</v>
      </c>
      <c r="E4" t="str">
        <f t="shared" si="0"/>
        <v>Clinical Data Acquisition</v>
      </c>
      <c r="F4" t="s">
        <v>157</v>
      </c>
      <c r="G4" s="3" t="s">
        <v>70</v>
      </c>
      <c r="H4" t="s">
        <v>28</v>
      </c>
      <c r="I4" s="2" t="s">
        <v>29</v>
      </c>
      <c r="J4" t="s">
        <v>146</v>
      </c>
    </row>
    <row r="5" spans="1:25" x14ac:dyDescent="0.2">
      <c r="A5" t="s">
        <v>97</v>
      </c>
      <c r="B5" t="s">
        <v>106</v>
      </c>
      <c r="C5" t="s">
        <v>134</v>
      </c>
      <c r="D5" t="s">
        <v>135</v>
      </c>
      <c r="E5" t="str">
        <f t="shared" si="0"/>
        <v>Self Pay Epic Artiva - Scale migrate clients to pull from the lake</v>
      </c>
      <c r="F5" t="s">
        <v>133</v>
      </c>
      <c r="G5" s="3" t="s">
        <v>70</v>
      </c>
      <c r="H5" t="s">
        <v>28</v>
      </c>
      <c r="I5" s="2" t="s">
        <v>29</v>
      </c>
      <c r="J5" t="s">
        <v>45</v>
      </c>
    </row>
    <row r="6" spans="1:25" x14ac:dyDescent="0.2">
      <c r="A6" t="s">
        <v>97</v>
      </c>
      <c r="B6" t="s">
        <v>175</v>
      </c>
      <c r="C6" t="s">
        <v>71</v>
      </c>
      <c r="D6" t="s">
        <v>532</v>
      </c>
      <c r="E6" t="str">
        <f t="shared" si="0"/>
        <v>Integrate with Solventum</v>
      </c>
      <c r="F6" t="s">
        <v>443</v>
      </c>
      <c r="G6" s="3" t="s">
        <v>216</v>
      </c>
      <c r="H6" t="s">
        <v>28</v>
      </c>
      <c r="I6" s="2" t="s">
        <v>29</v>
      </c>
      <c r="J6" t="s">
        <v>30</v>
      </c>
    </row>
    <row r="7" spans="1:25" x14ac:dyDescent="0.2">
      <c r="A7" t="s">
        <v>97</v>
      </c>
      <c r="B7" t="s">
        <v>175</v>
      </c>
      <c r="C7" t="s">
        <v>71</v>
      </c>
      <c r="D7" t="s">
        <v>482</v>
      </c>
      <c r="E7" t="str">
        <f t="shared" si="0"/>
        <v>Platform modernization</v>
      </c>
      <c r="F7" t="s">
        <v>533</v>
      </c>
      <c r="G7" s="3" t="s">
        <v>521</v>
      </c>
      <c r="H7" t="s">
        <v>28</v>
      </c>
      <c r="I7" s="2" t="s">
        <v>29</v>
      </c>
      <c r="J7" t="s">
        <v>30</v>
      </c>
    </row>
    <row r="8" spans="1:25" ht="16" x14ac:dyDescent="0.2">
      <c r="A8" t="s">
        <v>210</v>
      </c>
      <c r="B8" t="s">
        <v>203</v>
      </c>
      <c r="C8" t="s">
        <v>211</v>
      </c>
      <c r="D8" t="s">
        <v>212</v>
      </c>
      <c r="E8" t="str">
        <f t="shared" si="0"/>
        <v>Auth risk scoring</v>
      </c>
      <c r="F8" s="1" t="s">
        <v>209</v>
      </c>
      <c r="G8" s="3" t="s">
        <v>43</v>
      </c>
      <c r="H8" t="s">
        <v>28</v>
      </c>
      <c r="I8" s="2" t="s">
        <v>29</v>
      </c>
    </row>
    <row r="9" spans="1:25" x14ac:dyDescent="0.2">
      <c r="A9" t="s">
        <v>210</v>
      </c>
      <c r="B9" t="s">
        <v>203</v>
      </c>
      <c r="C9" t="s">
        <v>211</v>
      </c>
      <c r="D9" t="s">
        <v>484</v>
      </c>
      <c r="E9" t="str">
        <f t="shared" si="0"/>
        <v>CDI</v>
      </c>
      <c r="F9" t="s">
        <v>214</v>
      </c>
      <c r="G9" s="3" t="s">
        <v>43</v>
      </c>
      <c r="H9" t="s">
        <v>28</v>
      </c>
      <c r="I9" s="2" t="s">
        <v>29</v>
      </c>
    </row>
    <row r="10" spans="1:25" x14ac:dyDescent="0.2">
      <c r="A10" t="s">
        <v>210</v>
      </c>
      <c r="B10" t="s">
        <v>203</v>
      </c>
      <c r="C10" t="s">
        <v>211</v>
      </c>
      <c r="D10" t="s">
        <v>219</v>
      </c>
      <c r="E10" t="str">
        <f t="shared" si="0"/>
        <v>COB</v>
      </c>
      <c r="G10" s="3" t="s">
        <v>43</v>
      </c>
      <c r="H10" t="s">
        <v>28</v>
      </c>
      <c r="I10" s="2" t="s">
        <v>29</v>
      </c>
    </row>
    <row r="11" spans="1:25" x14ac:dyDescent="0.2">
      <c r="A11" t="s">
        <v>210</v>
      </c>
      <c r="B11" t="s">
        <v>203</v>
      </c>
      <c r="C11" t="s">
        <v>211</v>
      </c>
      <c r="D11" t="s">
        <v>226</v>
      </c>
      <c r="E11" t="str">
        <f t="shared" si="0"/>
        <v>CPT analysis</v>
      </c>
      <c r="G11" s="3" t="s">
        <v>43</v>
      </c>
      <c r="H11" t="s">
        <v>56</v>
      </c>
      <c r="I11" s="2">
        <v>1</v>
      </c>
    </row>
    <row r="12" spans="1:25" x14ac:dyDescent="0.2">
      <c r="A12" t="s">
        <v>210</v>
      </c>
      <c r="B12" t="s">
        <v>203</v>
      </c>
      <c r="C12" t="s">
        <v>211</v>
      </c>
      <c r="D12" t="s">
        <v>215</v>
      </c>
      <c r="E12" t="str">
        <f t="shared" si="0"/>
        <v>DRG</v>
      </c>
      <c r="F12" t="s">
        <v>214</v>
      </c>
      <c r="G12" s="3" t="s">
        <v>216</v>
      </c>
      <c r="H12" t="s">
        <v>28</v>
      </c>
      <c r="I12" s="2" t="s">
        <v>29</v>
      </c>
    </row>
    <row r="13" spans="1:25" x14ac:dyDescent="0.2">
      <c r="A13" t="s">
        <v>210</v>
      </c>
      <c r="B13" t="s">
        <v>203</v>
      </c>
      <c r="C13" t="s">
        <v>211</v>
      </c>
      <c r="D13" t="s">
        <v>223</v>
      </c>
      <c r="E13" t="str">
        <f t="shared" si="0"/>
        <v>Outpatient Med Nec Denials</v>
      </c>
      <c r="F13" t="s">
        <v>222</v>
      </c>
      <c r="G13" s="3" t="s">
        <v>43</v>
      </c>
      <c r="H13" t="s">
        <v>56</v>
      </c>
      <c r="I13" s="2">
        <v>2</v>
      </c>
    </row>
    <row r="14" spans="1:25" x14ac:dyDescent="0.2">
      <c r="A14" t="s">
        <v>23</v>
      </c>
      <c r="B14" t="s">
        <v>24</v>
      </c>
      <c r="C14" t="s">
        <v>25</v>
      </c>
      <c r="D14" t="s">
        <v>26</v>
      </c>
      <c r="E14" t="str">
        <f t="shared" si="0"/>
        <v>360 Encompass build</v>
      </c>
      <c r="F14" t="s">
        <v>22</v>
      </c>
      <c r="G14" s="3" t="s">
        <v>27</v>
      </c>
      <c r="H14" t="s">
        <v>28</v>
      </c>
      <c r="I14" s="2" t="s">
        <v>29</v>
      </c>
      <c r="J14" t="s">
        <v>30</v>
      </c>
    </row>
    <row r="15" spans="1:25" x14ac:dyDescent="0.2">
      <c r="A15" t="s">
        <v>23</v>
      </c>
      <c r="B15" t="s">
        <v>24</v>
      </c>
      <c r="C15" t="s">
        <v>41</v>
      </c>
      <c r="D15" t="s">
        <v>48</v>
      </c>
      <c r="E15" t="str">
        <f t="shared" si="0"/>
        <v>Clinical AI Engine Redesign – POC and Implementation</v>
      </c>
      <c r="F15" t="s">
        <v>62</v>
      </c>
      <c r="G15" s="3" t="s">
        <v>43</v>
      </c>
      <c r="H15" t="s">
        <v>182</v>
      </c>
      <c r="I15" s="2" t="s">
        <v>182</v>
      </c>
      <c r="J15" t="s">
        <v>534</v>
      </c>
    </row>
    <row r="16" spans="1:25" x14ac:dyDescent="0.2">
      <c r="A16" t="s">
        <v>23</v>
      </c>
      <c r="B16" t="s">
        <v>24</v>
      </c>
      <c r="C16" t="s">
        <v>41</v>
      </c>
      <c r="D16" t="s">
        <v>55</v>
      </c>
      <c r="E16" t="str">
        <f t="shared" si="0"/>
        <v>Clinical justification Review and regeneration</v>
      </c>
      <c r="F16" t="s">
        <v>62</v>
      </c>
      <c r="G16" s="3" t="s">
        <v>43</v>
      </c>
      <c r="H16" t="s">
        <v>56</v>
      </c>
      <c r="I16" s="2">
        <v>1</v>
      </c>
    </row>
    <row r="17" spans="1:10" x14ac:dyDescent="0.2">
      <c r="A17" t="s">
        <v>23</v>
      </c>
      <c r="B17" t="s">
        <v>24</v>
      </c>
      <c r="C17" t="s">
        <v>86</v>
      </c>
      <c r="D17" t="s">
        <v>92</v>
      </c>
      <c r="E17" t="str">
        <f t="shared" si="0"/>
        <v>Clinical summarization</v>
      </c>
      <c r="F17" t="s">
        <v>85</v>
      </c>
      <c r="G17" s="3" t="s">
        <v>88</v>
      </c>
      <c r="H17" t="s">
        <v>28</v>
      </c>
      <c r="I17" s="2" t="s">
        <v>29</v>
      </c>
      <c r="J17" t="s">
        <v>30</v>
      </c>
    </row>
    <row r="18" spans="1:10" x14ac:dyDescent="0.2">
      <c r="A18" t="s">
        <v>23</v>
      </c>
      <c r="B18" t="s">
        <v>24</v>
      </c>
      <c r="C18" t="s">
        <v>41</v>
      </c>
      <c r="D18" t="s">
        <v>60</v>
      </c>
      <c r="E18" t="str">
        <f t="shared" si="0"/>
        <v>Coding denial reasoning</v>
      </c>
      <c r="F18" t="s">
        <v>59</v>
      </c>
      <c r="G18" s="3" t="s">
        <v>43</v>
      </c>
      <c r="H18" t="s">
        <v>56</v>
      </c>
      <c r="I18" s="2">
        <v>2</v>
      </c>
    </row>
    <row r="19" spans="1:10" x14ac:dyDescent="0.2">
      <c r="A19" t="s">
        <v>23</v>
      </c>
      <c r="B19" t="s">
        <v>24</v>
      </c>
      <c r="C19" t="s">
        <v>41</v>
      </c>
      <c r="D19" t="s">
        <v>63</v>
      </c>
      <c r="E19" t="str">
        <f t="shared" si="0"/>
        <v>Expanded denials - denied days, experimental, missed notification, no authoritization, and readmission</v>
      </c>
      <c r="F19" t="s">
        <v>62</v>
      </c>
      <c r="G19" s="3" t="s">
        <v>43</v>
      </c>
      <c r="H19" t="s">
        <v>56</v>
      </c>
      <c r="I19" s="2">
        <v>3</v>
      </c>
    </row>
    <row r="20" spans="1:10" x14ac:dyDescent="0.2">
      <c r="A20" t="s">
        <v>23</v>
      </c>
      <c r="B20" t="s">
        <v>24</v>
      </c>
      <c r="C20" t="s">
        <v>41</v>
      </c>
      <c r="D20" t="s">
        <v>42</v>
      </c>
      <c r="E20" t="str">
        <f t="shared" si="0"/>
        <v>GenAI Appeal Letter Generation</v>
      </c>
      <c r="F20" t="s">
        <v>40</v>
      </c>
      <c r="G20" s="3" t="s">
        <v>43</v>
      </c>
      <c r="H20" t="s">
        <v>28</v>
      </c>
      <c r="I20" s="2" t="s">
        <v>29</v>
      </c>
      <c r="J20" t="s">
        <v>45</v>
      </c>
    </row>
    <row r="21" spans="1:10" x14ac:dyDescent="0.2">
      <c r="A21" t="s">
        <v>23</v>
      </c>
      <c r="B21" t="s">
        <v>24</v>
      </c>
      <c r="C21" t="s">
        <v>41</v>
      </c>
      <c r="D21" t="s">
        <v>535</v>
      </c>
      <c r="E21" t="str">
        <f t="shared" si="0"/>
        <v>Generate more EMR sections for technical appeals</v>
      </c>
      <c r="F21" t="s">
        <v>62</v>
      </c>
      <c r="G21" s="3" t="s">
        <v>43</v>
      </c>
      <c r="H21" t="s">
        <v>182</v>
      </c>
      <c r="I21" s="2" t="s">
        <v>182</v>
      </c>
      <c r="J21" t="s">
        <v>536</v>
      </c>
    </row>
    <row r="22" spans="1:10" x14ac:dyDescent="0.2">
      <c r="A22" t="s">
        <v>23</v>
      </c>
      <c r="B22" t="s">
        <v>24</v>
      </c>
      <c r="C22" t="s">
        <v>25</v>
      </c>
      <c r="D22" t="s">
        <v>537</v>
      </c>
      <c r="E22" t="str">
        <f t="shared" si="0"/>
        <v>HB Autonomous</v>
      </c>
      <c r="F22" t="s">
        <v>22</v>
      </c>
      <c r="G22" s="3" t="s">
        <v>27</v>
      </c>
      <c r="H22" t="s">
        <v>28</v>
      </c>
      <c r="I22" s="2" t="s">
        <v>29</v>
      </c>
      <c r="J22" t="s">
        <v>30</v>
      </c>
    </row>
    <row r="23" spans="1:10" x14ac:dyDescent="0.2">
      <c r="A23" t="s">
        <v>23</v>
      </c>
      <c r="B23" t="s">
        <v>24</v>
      </c>
      <c r="C23" t="s">
        <v>25</v>
      </c>
      <c r="D23" t="s">
        <v>538</v>
      </c>
      <c r="E23" t="str">
        <f t="shared" si="0"/>
        <v>HB CAC</v>
      </c>
      <c r="F23" t="s">
        <v>22</v>
      </c>
      <c r="G23" s="3" t="s">
        <v>27</v>
      </c>
      <c r="H23" t="s">
        <v>28</v>
      </c>
      <c r="I23" s="2" t="s">
        <v>29</v>
      </c>
      <c r="J23" t="s">
        <v>30</v>
      </c>
    </row>
    <row r="24" spans="1:10" x14ac:dyDescent="0.2">
      <c r="A24" t="s">
        <v>23</v>
      </c>
      <c r="B24" t="s">
        <v>24</v>
      </c>
      <c r="C24" t="s">
        <v>86</v>
      </c>
      <c r="D24" t="s">
        <v>87</v>
      </c>
      <c r="E24" t="str">
        <f t="shared" si="0"/>
        <v>Improve clinical notes through denial reason insights</v>
      </c>
      <c r="F24" t="s">
        <v>85</v>
      </c>
      <c r="G24" s="3" t="s">
        <v>88</v>
      </c>
      <c r="H24" t="s">
        <v>56</v>
      </c>
      <c r="I24" s="2">
        <v>1</v>
      </c>
    </row>
    <row r="25" spans="1:10" x14ac:dyDescent="0.2">
      <c r="A25" t="s">
        <v>23</v>
      </c>
      <c r="B25" t="s">
        <v>24</v>
      </c>
      <c r="C25" t="s">
        <v>41</v>
      </c>
      <c r="D25" t="s">
        <v>524</v>
      </c>
      <c r="E25" t="str">
        <f t="shared" si="0"/>
        <v>Live transcription and translation of encounters into clinical docs and codes</v>
      </c>
      <c r="F25" t="s">
        <v>69</v>
      </c>
      <c r="G25" s="3" t="s">
        <v>70</v>
      </c>
      <c r="H25" t="s">
        <v>182</v>
      </c>
      <c r="I25" s="2" t="s">
        <v>182</v>
      </c>
      <c r="J25" t="s">
        <v>539</v>
      </c>
    </row>
    <row r="26" spans="1:10" x14ac:dyDescent="0.2">
      <c r="A26" t="s">
        <v>23</v>
      </c>
      <c r="B26" t="s">
        <v>24</v>
      </c>
      <c r="C26" t="s">
        <v>25</v>
      </c>
      <c r="D26" t="s">
        <v>35</v>
      </c>
      <c r="E26" t="str">
        <f t="shared" si="0"/>
        <v>PB Autonomous</v>
      </c>
      <c r="F26" t="s">
        <v>22</v>
      </c>
      <c r="G26" s="3" t="s">
        <v>33</v>
      </c>
      <c r="H26" t="s">
        <v>28</v>
      </c>
      <c r="I26" s="2" t="s">
        <v>29</v>
      </c>
      <c r="J26" t="s">
        <v>30</v>
      </c>
    </row>
    <row r="27" spans="1:10" x14ac:dyDescent="0.2">
      <c r="A27" t="s">
        <v>23</v>
      </c>
      <c r="B27" t="s">
        <v>24</v>
      </c>
      <c r="C27" t="s">
        <v>25</v>
      </c>
      <c r="D27" t="s">
        <v>540</v>
      </c>
      <c r="E27" t="str">
        <f t="shared" si="0"/>
        <v>PB CAC</v>
      </c>
      <c r="F27" t="s">
        <v>22</v>
      </c>
      <c r="G27" s="3" t="s">
        <v>33</v>
      </c>
      <c r="H27" t="s">
        <v>28</v>
      </c>
      <c r="I27" s="2" t="s">
        <v>29</v>
      </c>
      <c r="J27" t="s">
        <v>30</v>
      </c>
    </row>
    <row r="28" spans="1:10" x14ac:dyDescent="0.2">
      <c r="A28" t="s">
        <v>23</v>
      </c>
      <c r="B28" t="s">
        <v>24</v>
      </c>
      <c r="C28" t="s">
        <v>86</v>
      </c>
      <c r="D28" t="s">
        <v>90</v>
      </c>
      <c r="E28" t="str">
        <f t="shared" si="0"/>
        <v>Present clinical notes for Physician Advisory P2P</v>
      </c>
      <c r="F28" t="s">
        <v>85</v>
      </c>
      <c r="G28" s="3" t="s">
        <v>88</v>
      </c>
      <c r="H28" t="s">
        <v>56</v>
      </c>
      <c r="I28" s="2">
        <v>2</v>
      </c>
    </row>
    <row r="29" spans="1:10" x14ac:dyDescent="0.2">
      <c r="A29" t="s">
        <v>23</v>
      </c>
      <c r="B29" t="s">
        <v>24</v>
      </c>
      <c r="C29" t="s">
        <v>41</v>
      </c>
      <c r="D29" t="s">
        <v>541</v>
      </c>
      <c r="E29" t="str">
        <f t="shared" si="0"/>
        <v>Reuse previously generated EMR information and Partial medical record generation</v>
      </c>
      <c r="F29" t="s">
        <v>62</v>
      </c>
      <c r="G29" s="3" t="s">
        <v>43</v>
      </c>
      <c r="H29" t="s">
        <v>56</v>
      </c>
      <c r="I29" s="2">
        <v>4</v>
      </c>
    </row>
    <row r="30" spans="1:10" x14ac:dyDescent="0.2">
      <c r="A30" t="s">
        <v>23</v>
      </c>
      <c r="B30" t="s">
        <v>24</v>
      </c>
      <c r="C30" t="s">
        <v>41</v>
      </c>
      <c r="D30" t="s">
        <v>52</v>
      </c>
      <c r="E30" t="str">
        <f t="shared" si="0"/>
        <v>Utilize data lake clinical information</v>
      </c>
      <c r="F30" t="s">
        <v>62</v>
      </c>
      <c r="G30" s="3" t="s">
        <v>43</v>
      </c>
      <c r="H30" t="s">
        <v>28</v>
      </c>
      <c r="I30" s="2" t="s">
        <v>29</v>
      </c>
      <c r="J30" t="s">
        <v>30</v>
      </c>
    </row>
    <row r="31" spans="1:10" x14ac:dyDescent="0.2">
      <c r="A31" t="s">
        <v>23</v>
      </c>
      <c r="B31" t="s">
        <v>24</v>
      </c>
      <c r="C31" t="s">
        <v>86</v>
      </c>
      <c r="D31" t="s">
        <v>542</v>
      </c>
      <c r="E31" t="str">
        <f t="shared" si="0"/>
        <v>worklist mgmt and nurse assignment</v>
      </c>
      <c r="F31" t="s">
        <v>85</v>
      </c>
      <c r="G31" s="3" t="s">
        <v>88</v>
      </c>
      <c r="H31" t="s">
        <v>28</v>
      </c>
      <c r="I31" s="2" t="s">
        <v>29</v>
      </c>
      <c r="J31" t="s">
        <v>30</v>
      </c>
    </row>
    <row r="32" spans="1:10" x14ac:dyDescent="0.2">
      <c r="A32" t="s">
        <v>23</v>
      </c>
      <c r="B32" t="s">
        <v>24</v>
      </c>
      <c r="C32" t="s">
        <v>82</v>
      </c>
      <c r="D32" t="s">
        <v>83</v>
      </c>
      <c r="E32" t="str">
        <f t="shared" si="0"/>
        <v>Solarity | All Client Implementations</v>
      </c>
      <c r="F32" t="s">
        <v>81</v>
      </c>
      <c r="G32" s="3" t="s">
        <v>84</v>
      </c>
      <c r="H32" t="s">
        <v>28</v>
      </c>
      <c r="I32" s="2" t="s">
        <v>29</v>
      </c>
      <c r="J32" t="s">
        <v>45</v>
      </c>
    </row>
    <row r="33" spans="1:10" x14ac:dyDescent="0.2">
      <c r="A33" t="s">
        <v>23</v>
      </c>
      <c r="B33" t="s">
        <v>106</v>
      </c>
      <c r="C33" t="s">
        <v>511</v>
      </c>
      <c r="D33" t="s">
        <v>543</v>
      </c>
      <c r="E33" t="str">
        <f t="shared" si="0"/>
        <v>835 Remit Data/Denial and Physician Leakage Reporting</v>
      </c>
      <c r="F33" t="s">
        <v>145</v>
      </c>
      <c r="G33" s="3" t="s">
        <v>70</v>
      </c>
      <c r="H33" t="s">
        <v>28</v>
      </c>
      <c r="I33" s="2" t="s">
        <v>29</v>
      </c>
      <c r="J33" t="s">
        <v>146</v>
      </c>
    </row>
    <row r="34" spans="1:10" x14ac:dyDescent="0.2">
      <c r="A34" t="s">
        <v>23</v>
      </c>
      <c r="B34" t="s">
        <v>106</v>
      </c>
      <c r="C34" t="s">
        <v>512</v>
      </c>
      <c r="D34" t="s">
        <v>506</v>
      </c>
      <c r="E34" t="str">
        <f t="shared" ref="E34:E65" si="1">TRIM(MID(D34,FIND(":",D34)+1,LEN(D34)))</f>
        <v>AP Automation</v>
      </c>
      <c r="F34" t="s">
        <v>105</v>
      </c>
      <c r="G34" s="3" t="s">
        <v>70</v>
      </c>
      <c r="H34" t="s">
        <v>28</v>
      </c>
      <c r="I34" s="2" t="s">
        <v>29</v>
      </c>
    </row>
    <row r="35" spans="1:10" x14ac:dyDescent="0.2">
      <c r="A35" t="s">
        <v>23</v>
      </c>
      <c r="B35" t="s">
        <v>106</v>
      </c>
      <c r="C35" t="s">
        <v>134</v>
      </c>
      <c r="D35" t="s">
        <v>150</v>
      </c>
      <c r="E35" t="str">
        <f t="shared" si="1"/>
        <v>AR / Denials Inventory Management</v>
      </c>
      <c r="F35" t="s">
        <v>148</v>
      </c>
      <c r="G35" s="3" t="s">
        <v>139</v>
      </c>
      <c r="H35" t="s">
        <v>38</v>
      </c>
      <c r="I35" s="2">
        <v>1</v>
      </c>
      <c r="J35" t="s">
        <v>544</v>
      </c>
    </row>
    <row r="36" spans="1:10" x14ac:dyDescent="0.2">
      <c r="A36" t="s">
        <v>23</v>
      </c>
      <c r="B36" t="s">
        <v>106</v>
      </c>
      <c r="C36" t="s">
        <v>108</v>
      </c>
      <c r="D36" t="s">
        <v>509</v>
      </c>
      <c r="E36" t="str">
        <f t="shared" si="1"/>
        <v>Bad debt / coverage discovery new client audits</v>
      </c>
      <c r="F36" t="s">
        <v>105</v>
      </c>
      <c r="G36" s="3" t="s">
        <v>70</v>
      </c>
      <c r="H36" t="s">
        <v>28</v>
      </c>
      <c r="I36" s="2" t="s">
        <v>29</v>
      </c>
    </row>
    <row r="37" spans="1:10" x14ac:dyDescent="0.2">
      <c r="A37" t="s">
        <v>23</v>
      </c>
      <c r="B37" t="s">
        <v>106</v>
      </c>
      <c r="C37" t="s">
        <v>134</v>
      </c>
      <c r="D37" t="s">
        <v>485</v>
      </c>
      <c r="E37" t="str">
        <f t="shared" si="1"/>
        <v>Billing Inventory Management</v>
      </c>
      <c r="F37" t="s">
        <v>475</v>
      </c>
      <c r="G37" s="3" t="s">
        <v>176</v>
      </c>
      <c r="H37" t="s">
        <v>28</v>
      </c>
      <c r="I37" s="2" t="s">
        <v>29</v>
      </c>
      <c r="J37" t="s">
        <v>30</v>
      </c>
    </row>
    <row r="38" spans="1:10" x14ac:dyDescent="0.2">
      <c r="A38" t="s">
        <v>23</v>
      </c>
      <c r="B38" t="s">
        <v>106</v>
      </c>
      <c r="C38" t="s">
        <v>108</v>
      </c>
      <c r="D38" t="s">
        <v>508</v>
      </c>
      <c r="E38" t="str">
        <f t="shared" si="1"/>
        <v>Claim status overpayment algorithms</v>
      </c>
      <c r="F38" t="s">
        <v>105</v>
      </c>
      <c r="G38" s="3" t="s">
        <v>70</v>
      </c>
      <c r="H38" t="s">
        <v>28</v>
      </c>
      <c r="I38" s="2" t="s">
        <v>29</v>
      </c>
    </row>
    <row r="39" spans="1:10" x14ac:dyDescent="0.2">
      <c r="A39" t="s">
        <v>23</v>
      </c>
      <c r="B39" t="s">
        <v>106</v>
      </c>
      <c r="C39" t="s">
        <v>134</v>
      </c>
      <c r="D39" t="s">
        <v>161</v>
      </c>
      <c r="E39" t="str">
        <f t="shared" si="1"/>
        <v>Enterprise - Standardized Payer Plan</v>
      </c>
      <c r="F39" t="s">
        <v>159</v>
      </c>
      <c r="G39" s="3" t="s">
        <v>70</v>
      </c>
      <c r="H39" t="s">
        <v>28</v>
      </c>
      <c r="I39" s="2" t="s">
        <v>29</v>
      </c>
      <c r="J39" t="s">
        <v>146</v>
      </c>
    </row>
    <row r="40" spans="1:10" x14ac:dyDescent="0.2">
      <c r="A40" t="s">
        <v>23</v>
      </c>
      <c r="B40" t="s">
        <v>106</v>
      </c>
      <c r="C40" t="s">
        <v>108</v>
      </c>
      <c r="D40" t="s">
        <v>507</v>
      </c>
      <c r="E40" t="str">
        <f t="shared" si="1"/>
        <v>Global vendor audits</v>
      </c>
      <c r="F40" t="s">
        <v>105</v>
      </c>
      <c r="G40" s="3" t="s">
        <v>70</v>
      </c>
      <c r="H40" t="s">
        <v>28</v>
      </c>
      <c r="I40" s="2" t="s">
        <v>29</v>
      </c>
    </row>
    <row r="41" spans="1:10" x14ac:dyDescent="0.2">
      <c r="A41" t="s">
        <v>23</v>
      </c>
      <c r="B41" t="s">
        <v>106</v>
      </c>
      <c r="C41" t="s">
        <v>108</v>
      </c>
      <c r="D41" t="s">
        <v>503</v>
      </c>
      <c r="E41" t="str">
        <f t="shared" si="1"/>
        <v>Invoice Analytics</v>
      </c>
      <c r="F41" t="s">
        <v>105</v>
      </c>
      <c r="G41" s="3" t="s">
        <v>70</v>
      </c>
      <c r="H41" t="s">
        <v>56</v>
      </c>
      <c r="I41" s="2">
        <v>1</v>
      </c>
    </row>
    <row r="42" spans="1:10" x14ac:dyDescent="0.2">
      <c r="A42" t="s">
        <v>23</v>
      </c>
      <c r="B42" t="s">
        <v>106</v>
      </c>
      <c r="C42" t="s">
        <v>511</v>
      </c>
      <c r="D42" t="s">
        <v>523</v>
      </c>
      <c r="E42" t="str">
        <f t="shared" si="1"/>
        <v>Productivity Tool - Enterprise-wide</v>
      </c>
      <c r="F42" t="s">
        <v>136</v>
      </c>
      <c r="G42" s="3" t="s">
        <v>70</v>
      </c>
      <c r="H42" t="s">
        <v>56</v>
      </c>
      <c r="I42" s="2">
        <v>1</v>
      </c>
    </row>
    <row r="43" spans="1:10" x14ac:dyDescent="0.2">
      <c r="A43" t="s">
        <v>23</v>
      </c>
      <c r="B43" t="s">
        <v>180</v>
      </c>
      <c r="C43" t="s">
        <v>181</v>
      </c>
      <c r="D43" t="s">
        <v>545</v>
      </c>
      <c r="E43" t="str">
        <f t="shared" si="1"/>
        <v>Add modifiers for claim corrections</v>
      </c>
      <c r="G43" s="3" t="s">
        <v>139</v>
      </c>
      <c r="H43" t="s">
        <v>182</v>
      </c>
      <c r="I43" s="2" t="s">
        <v>182</v>
      </c>
      <c r="J43" t="s">
        <v>183</v>
      </c>
    </row>
    <row r="44" spans="1:10" x14ac:dyDescent="0.2">
      <c r="A44" t="s">
        <v>23</v>
      </c>
      <c r="B44" t="s">
        <v>180</v>
      </c>
      <c r="C44" t="s">
        <v>546</v>
      </c>
      <c r="D44" t="s">
        <v>526</v>
      </c>
      <c r="E44" t="str">
        <f t="shared" si="1"/>
        <v>Automation of billing tasks</v>
      </c>
      <c r="F44" t="s">
        <v>177</v>
      </c>
      <c r="G44" s="3" t="s">
        <v>176</v>
      </c>
      <c r="H44" t="s">
        <v>28</v>
      </c>
      <c r="I44" s="2" t="s">
        <v>29</v>
      </c>
      <c r="J44" t="s">
        <v>178</v>
      </c>
    </row>
    <row r="45" spans="1:10" x14ac:dyDescent="0.2">
      <c r="A45" t="s">
        <v>23</v>
      </c>
      <c r="B45" t="s">
        <v>180</v>
      </c>
      <c r="C45" t="s">
        <v>181</v>
      </c>
      <c r="D45" t="s">
        <v>195</v>
      </c>
      <c r="E45" t="str">
        <f t="shared" si="1"/>
        <v>Demographic updates</v>
      </c>
      <c r="F45" t="s">
        <v>194</v>
      </c>
      <c r="G45" s="3" t="s">
        <v>196</v>
      </c>
      <c r="H45" t="s">
        <v>182</v>
      </c>
      <c r="I45" s="2" t="s">
        <v>182</v>
      </c>
      <c r="J45" t="s">
        <v>197</v>
      </c>
    </row>
    <row r="46" spans="1:10" x14ac:dyDescent="0.2">
      <c r="A46" t="s">
        <v>23</v>
      </c>
      <c r="B46" t="s">
        <v>180</v>
      </c>
      <c r="C46" t="s">
        <v>181</v>
      </c>
      <c r="D46" t="s">
        <v>199</v>
      </c>
      <c r="E46" t="str">
        <f t="shared" si="1"/>
        <v>DOS/POS Corrections</v>
      </c>
      <c r="G46" s="3" t="s">
        <v>139</v>
      </c>
      <c r="H46" t="s">
        <v>182</v>
      </c>
      <c r="I46" s="2" t="s">
        <v>182</v>
      </c>
      <c r="J46" t="s">
        <v>201</v>
      </c>
    </row>
    <row r="47" spans="1:10" x14ac:dyDescent="0.2">
      <c r="A47" t="s">
        <v>23</v>
      </c>
      <c r="B47" t="s">
        <v>180</v>
      </c>
      <c r="C47" t="s">
        <v>181</v>
      </c>
      <c r="D47" t="s">
        <v>184</v>
      </c>
      <c r="E47" t="str">
        <f t="shared" si="1"/>
        <v>Download host Host documentation</v>
      </c>
      <c r="G47" s="3" t="s">
        <v>139</v>
      </c>
      <c r="H47" t="s">
        <v>182</v>
      </c>
      <c r="I47" s="2" t="s">
        <v>182</v>
      </c>
      <c r="J47" t="s">
        <v>185</v>
      </c>
    </row>
    <row r="48" spans="1:10" x14ac:dyDescent="0.2">
      <c r="A48" t="s">
        <v>23</v>
      </c>
      <c r="B48" t="s">
        <v>180</v>
      </c>
      <c r="C48" t="s">
        <v>181</v>
      </c>
      <c r="D48" t="s">
        <v>198</v>
      </c>
      <c r="E48" t="str">
        <f t="shared" si="1"/>
        <v>Obtain Epic medical records via Epic ADR</v>
      </c>
      <c r="F48" t="s">
        <v>66</v>
      </c>
      <c r="G48" s="3" t="s">
        <v>139</v>
      </c>
      <c r="H48" t="s">
        <v>56</v>
      </c>
      <c r="I48" s="2">
        <v>1</v>
      </c>
    </row>
    <row r="49" spans="1:10" x14ac:dyDescent="0.2">
      <c r="A49" t="s">
        <v>23</v>
      </c>
      <c r="B49" t="s">
        <v>180</v>
      </c>
      <c r="C49" t="s">
        <v>181</v>
      </c>
      <c r="D49" t="s">
        <v>189</v>
      </c>
      <c r="E49" t="str">
        <f t="shared" si="1"/>
        <v>PB notes integration</v>
      </c>
      <c r="G49" s="3" t="s">
        <v>190</v>
      </c>
      <c r="H49" t="s">
        <v>182</v>
      </c>
      <c r="I49" s="2" t="s">
        <v>182</v>
      </c>
      <c r="J49" t="s">
        <v>191</v>
      </c>
    </row>
    <row r="50" spans="1:10" x14ac:dyDescent="0.2">
      <c r="A50" t="s">
        <v>23</v>
      </c>
      <c r="B50" t="s">
        <v>180</v>
      </c>
      <c r="C50" t="s">
        <v>181</v>
      </c>
      <c r="D50" t="s">
        <v>527</v>
      </c>
      <c r="E50" t="str">
        <f t="shared" si="1"/>
        <v>Submit corred claim for host after denial resolution</v>
      </c>
      <c r="G50" s="3" t="s">
        <v>139</v>
      </c>
      <c r="H50" t="s">
        <v>182</v>
      </c>
      <c r="I50" s="2" t="s">
        <v>182</v>
      </c>
      <c r="J50" t="s">
        <v>188</v>
      </c>
    </row>
    <row r="51" spans="1:10" x14ac:dyDescent="0.2">
      <c r="A51" t="s">
        <v>23</v>
      </c>
      <c r="B51" t="s">
        <v>180</v>
      </c>
      <c r="C51" t="s">
        <v>181</v>
      </c>
      <c r="D51" t="s">
        <v>192</v>
      </c>
      <c r="E51" t="str">
        <f t="shared" si="1"/>
        <v>Update provider information into Epic</v>
      </c>
      <c r="G51" s="3" t="s">
        <v>139</v>
      </c>
      <c r="H51" t="s">
        <v>182</v>
      </c>
      <c r="I51" s="2" t="s">
        <v>182</v>
      </c>
      <c r="J51" t="s">
        <v>193</v>
      </c>
    </row>
    <row r="52" spans="1:10" x14ac:dyDescent="0.2">
      <c r="A52" t="s">
        <v>23</v>
      </c>
      <c r="B52" t="s">
        <v>180</v>
      </c>
      <c r="C52" t="s">
        <v>181</v>
      </c>
      <c r="D52" t="s">
        <v>186</v>
      </c>
      <c r="E52" t="str">
        <f t="shared" si="1"/>
        <v>Upload to host documentation</v>
      </c>
      <c r="G52" s="3" t="s">
        <v>139</v>
      </c>
      <c r="H52" t="s">
        <v>182</v>
      </c>
      <c r="I52" s="2" t="s">
        <v>182</v>
      </c>
      <c r="J52" t="s">
        <v>187</v>
      </c>
    </row>
    <row r="53" spans="1:10" x14ac:dyDescent="0.2">
      <c r="A53" t="s">
        <v>23</v>
      </c>
      <c r="B53" t="s">
        <v>203</v>
      </c>
      <c r="C53" t="s">
        <v>129</v>
      </c>
      <c r="D53" t="s">
        <v>267</v>
      </c>
      <c r="E53" t="str">
        <f t="shared" si="1"/>
        <v>AI risk scoring to prevent authorization denials.</v>
      </c>
      <c r="F53" t="s">
        <v>209</v>
      </c>
      <c r="G53" s="3" t="s">
        <v>139</v>
      </c>
      <c r="H53" t="s">
        <v>28</v>
      </c>
      <c r="I53" s="2" t="s">
        <v>29</v>
      </c>
      <c r="J53" t="s">
        <v>146</v>
      </c>
    </row>
    <row r="54" spans="1:10" x14ac:dyDescent="0.2">
      <c r="A54" t="s">
        <v>23</v>
      </c>
      <c r="B54" t="s">
        <v>203</v>
      </c>
      <c r="C54" t="s">
        <v>129</v>
      </c>
      <c r="D54" t="s">
        <v>263</v>
      </c>
      <c r="E54" t="str">
        <f t="shared" si="1"/>
        <v>All Payer Medical Necessity/Medical Policy</v>
      </c>
      <c r="G54" s="3" t="s">
        <v>137</v>
      </c>
      <c r="H54" t="s">
        <v>38</v>
      </c>
      <c r="I54" s="2">
        <v>7</v>
      </c>
      <c r="J54" t="s">
        <v>547</v>
      </c>
    </row>
    <row r="55" spans="1:10" x14ac:dyDescent="0.2">
      <c r="A55" t="s">
        <v>23</v>
      </c>
      <c r="B55" t="s">
        <v>203</v>
      </c>
      <c r="C55" t="s">
        <v>129</v>
      </c>
      <c r="D55" t="s">
        <v>269</v>
      </c>
      <c r="E55" t="str">
        <f t="shared" si="1"/>
        <v>Assign action logs to Epic</v>
      </c>
      <c r="F55" t="s">
        <v>268</v>
      </c>
      <c r="G55" s="3" t="s">
        <v>137</v>
      </c>
      <c r="H55" t="s">
        <v>28</v>
      </c>
      <c r="I55" s="2" t="s">
        <v>29</v>
      </c>
    </row>
    <row r="56" spans="1:10" x14ac:dyDescent="0.2">
      <c r="A56" t="s">
        <v>23</v>
      </c>
      <c r="B56" t="s">
        <v>203</v>
      </c>
      <c r="C56" t="s">
        <v>129</v>
      </c>
      <c r="D56" t="s">
        <v>548</v>
      </c>
      <c r="E56" t="str">
        <f t="shared" si="1"/>
        <v>Assignment disposition reason tracking</v>
      </c>
      <c r="G56" s="3" t="s">
        <v>137</v>
      </c>
      <c r="H56" t="s">
        <v>182</v>
      </c>
      <c r="I56" s="2" t="s">
        <v>182</v>
      </c>
      <c r="J56" t="s">
        <v>252</v>
      </c>
    </row>
    <row r="57" spans="1:10" x14ac:dyDescent="0.2">
      <c r="A57" t="s">
        <v>23</v>
      </c>
      <c r="B57" t="s">
        <v>203</v>
      </c>
      <c r="C57" t="s">
        <v>129</v>
      </c>
      <c r="D57" t="s">
        <v>251</v>
      </c>
      <c r="E57" t="str">
        <f t="shared" si="1"/>
        <v>Assignment reassessment change rules values</v>
      </c>
      <c r="G57" s="3" t="s">
        <v>137</v>
      </c>
      <c r="H57" t="s">
        <v>182</v>
      </c>
      <c r="I57" s="2" t="s">
        <v>182</v>
      </c>
      <c r="J57" t="s">
        <v>252</v>
      </c>
    </row>
    <row r="58" spans="1:10" x14ac:dyDescent="0.2">
      <c r="A58" t="s">
        <v>23</v>
      </c>
      <c r="B58" t="s">
        <v>203</v>
      </c>
      <c r="C58" t="s">
        <v>129</v>
      </c>
      <c r="D58" t="s">
        <v>549</v>
      </c>
      <c r="E58" t="str">
        <f t="shared" si="1"/>
        <v>Auto clear Epic encounters</v>
      </c>
      <c r="G58" s="3" t="s">
        <v>137</v>
      </c>
      <c r="H58" t="s">
        <v>182</v>
      </c>
      <c r="I58" s="2" t="s">
        <v>182</v>
      </c>
      <c r="J58" t="s">
        <v>550</v>
      </c>
    </row>
    <row r="59" spans="1:10" x14ac:dyDescent="0.2">
      <c r="A59" t="s">
        <v>23</v>
      </c>
      <c r="B59" t="s">
        <v>203</v>
      </c>
      <c r="C59" t="s">
        <v>204</v>
      </c>
      <c r="D59" t="s">
        <v>551</v>
      </c>
      <c r="E59" t="str">
        <f t="shared" si="1"/>
        <v>Bluemark Insurance Discovery Day 1</v>
      </c>
      <c r="F59" t="s">
        <v>202</v>
      </c>
      <c r="G59" s="3" t="s">
        <v>137</v>
      </c>
      <c r="H59" t="s">
        <v>28</v>
      </c>
      <c r="I59" s="2" t="s">
        <v>29</v>
      </c>
      <c r="J59" t="s">
        <v>146</v>
      </c>
    </row>
    <row r="60" spans="1:10" x14ac:dyDescent="0.2">
      <c r="A60" t="s">
        <v>23</v>
      </c>
      <c r="B60" t="s">
        <v>203</v>
      </c>
      <c r="C60" t="s">
        <v>204</v>
      </c>
      <c r="D60" t="s">
        <v>552</v>
      </c>
      <c r="E60" t="str">
        <f t="shared" si="1"/>
        <v>Bluemark IP Auth BIA Workflow</v>
      </c>
      <c r="F60" t="s">
        <v>205</v>
      </c>
      <c r="G60" s="3" t="s">
        <v>206</v>
      </c>
      <c r="H60" t="s">
        <v>28</v>
      </c>
      <c r="I60" s="2" t="s">
        <v>29</v>
      </c>
      <c r="J60" t="s">
        <v>146</v>
      </c>
    </row>
    <row r="61" spans="1:10" x14ac:dyDescent="0.2">
      <c r="A61" t="s">
        <v>23</v>
      </c>
      <c r="B61" t="s">
        <v>203</v>
      </c>
      <c r="C61" t="s">
        <v>129</v>
      </c>
      <c r="D61" t="s">
        <v>499</v>
      </c>
      <c r="E61" t="str">
        <f t="shared" si="1"/>
        <v>Cerner Integration FMC</v>
      </c>
      <c r="G61" s="3" t="s">
        <v>137</v>
      </c>
      <c r="H61" t="s">
        <v>182</v>
      </c>
      <c r="I61" s="2" t="s">
        <v>182</v>
      </c>
      <c r="J61" t="s">
        <v>553</v>
      </c>
    </row>
    <row r="62" spans="1:10" x14ac:dyDescent="0.2">
      <c r="A62" t="s">
        <v>23</v>
      </c>
      <c r="B62" t="s">
        <v>203</v>
      </c>
      <c r="C62" t="s">
        <v>129</v>
      </c>
      <c r="D62" t="s">
        <v>554</v>
      </c>
      <c r="E62" t="str">
        <f t="shared" si="1"/>
        <v>Cerner Integration pilot</v>
      </c>
      <c r="F62" t="s">
        <v>231</v>
      </c>
      <c r="G62" s="3" t="s">
        <v>137</v>
      </c>
      <c r="H62" t="s">
        <v>28</v>
      </c>
      <c r="I62" s="2" t="s">
        <v>29</v>
      </c>
    </row>
    <row r="63" spans="1:10" x14ac:dyDescent="0.2">
      <c r="A63" t="s">
        <v>23</v>
      </c>
      <c r="B63" t="s">
        <v>203</v>
      </c>
      <c r="C63" t="s">
        <v>129</v>
      </c>
      <c r="D63" t="s">
        <v>276</v>
      </c>
      <c r="E63" t="str">
        <f t="shared" si="1"/>
        <v>Clinical Data FHIR documents and Lab Connections</v>
      </c>
      <c r="F63" t="s">
        <v>275</v>
      </c>
      <c r="G63" s="3" t="s">
        <v>137</v>
      </c>
      <c r="H63" t="s">
        <v>28</v>
      </c>
      <c r="I63" s="2" t="s">
        <v>29</v>
      </c>
    </row>
    <row r="64" spans="1:10" x14ac:dyDescent="0.2">
      <c r="A64" t="s">
        <v>23</v>
      </c>
      <c r="B64" t="s">
        <v>203</v>
      </c>
      <c r="C64" t="s">
        <v>129</v>
      </c>
      <c r="D64" t="s">
        <v>260</v>
      </c>
      <c r="E64" t="str">
        <f t="shared" si="1"/>
        <v>Clinical Data FHIR MAR, flowsheets</v>
      </c>
      <c r="F64" t="s">
        <v>259</v>
      </c>
      <c r="G64" s="3" t="s">
        <v>137</v>
      </c>
      <c r="H64" t="s">
        <v>182</v>
      </c>
      <c r="I64" s="2" t="s">
        <v>182</v>
      </c>
      <c r="J64" t="s">
        <v>555</v>
      </c>
    </row>
    <row r="65" spans="1:10" x14ac:dyDescent="0.2">
      <c r="A65" t="s">
        <v>23</v>
      </c>
      <c r="B65" t="s">
        <v>203</v>
      </c>
      <c r="C65" t="s">
        <v>129</v>
      </c>
      <c r="D65" t="s">
        <v>271</v>
      </c>
      <c r="E65" t="str">
        <f t="shared" si="1"/>
        <v>Connect standardized rules</v>
      </c>
      <c r="G65" s="3" t="s">
        <v>137</v>
      </c>
      <c r="H65" t="s">
        <v>28</v>
      </c>
      <c r="I65" s="2" t="s">
        <v>29</v>
      </c>
    </row>
    <row r="66" spans="1:10" x14ac:dyDescent="0.2">
      <c r="A66" t="s">
        <v>23</v>
      </c>
      <c r="B66" t="s">
        <v>203</v>
      </c>
      <c r="C66" t="s">
        <v>129</v>
      </c>
      <c r="D66" t="s">
        <v>261</v>
      </c>
      <c r="E66" t="str">
        <f t="shared" ref="E66:E97" si="2">TRIM(MID(D66,FIND(":",D66)+1,LEN(D66)))</f>
        <v>CPT Mismatch/Amended Auth WQs</v>
      </c>
      <c r="G66" s="3" t="s">
        <v>137</v>
      </c>
      <c r="H66" t="s">
        <v>38</v>
      </c>
      <c r="I66" s="2">
        <v>5</v>
      </c>
      <c r="J66" t="s">
        <v>556</v>
      </c>
    </row>
    <row r="67" spans="1:10" x14ac:dyDescent="0.2">
      <c r="A67" t="s">
        <v>23</v>
      </c>
      <c r="B67" t="s">
        <v>203</v>
      </c>
      <c r="C67" t="s">
        <v>129</v>
      </c>
      <c r="D67" t="s">
        <v>234</v>
      </c>
      <c r="E67" t="str">
        <f t="shared" si="2"/>
        <v>eMPA Compatibility</v>
      </c>
      <c r="G67" s="3" t="s">
        <v>137</v>
      </c>
      <c r="H67" t="s">
        <v>38</v>
      </c>
      <c r="I67" s="2">
        <v>6</v>
      </c>
      <c r="J67" t="s">
        <v>557</v>
      </c>
    </row>
    <row r="68" spans="1:10" x14ac:dyDescent="0.2">
      <c r="A68" t="s">
        <v>23</v>
      </c>
      <c r="B68" t="s">
        <v>203</v>
      </c>
      <c r="C68" t="s">
        <v>129</v>
      </c>
      <c r="D68" t="s">
        <v>558</v>
      </c>
      <c r="E68" t="str">
        <f t="shared" si="2"/>
        <v>Enhanced Auth/Cert surgery referrals</v>
      </c>
      <c r="G68" s="3" t="s">
        <v>137</v>
      </c>
      <c r="H68" t="s">
        <v>28</v>
      </c>
      <c r="I68" s="2" t="s">
        <v>29</v>
      </c>
      <c r="J68" t="s">
        <v>273</v>
      </c>
    </row>
    <row r="69" spans="1:10" x14ac:dyDescent="0.2">
      <c r="A69" t="s">
        <v>23</v>
      </c>
      <c r="B69" t="s">
        <v>203</v>
      </c>
      <c r="C69" t="s">
        <v>129</v>
      </c>
      <c r="D69" t="s">
        <v>500</v>
      </c>
      <c r="E69" t="str">
        <f t="shared" si="2"/>
        <v>Enhanced pre-auth</v>
      </c>
      <c r="G69" s="3" t="s">
        <v>137</v>
      </c>
      <c r="H69" t="s">
        <v>182</v>
      </c>
      <c r="I69" s="2" t="s">
        <v>182</v>
      </c>
      <c r="J69" t="s">
        <v>559</v>
      </c>
    </row>
    <row r="70" spans="1:10" x14ac:dyDescent="0.2">
      <c r="A70" t="s">
        <v>23</v>
      </c>
      <c r="B70" t="s">
        <v>203</v>
      </c>
      <c r="C70" t="s">
        <v>129</v>
      </c>
      <c r="D70" t="s">
        <v>253</v>
      </c>
      <c r="E70" t="str">
        <f t="shared" si="2"/>
        <v>Ensuite productivity dashboard</v>
      </c>
      <c r="G70" s="3" t="s">
        <v>137</v>
      </c>
      <c r="H70" t="s">
        <v>182</v>
      </c>
      <c r="I70" s="2" t="s">
        <v>182</v>
      </c>
      <c r="J70" t="s">
        <v>560</v>
      </c>
    </row>
    <row r="71" spans="1:10" x14ac:dyDescent="0.2">
      <c r="A71" t="s">
        <v>23</v>
      </c>
      <c r="B71" t="s">
        <v>203</v>
      </c>
      <c r="C71" t="s">
        <v>129</v>
      </c>
      <c r="D71" t="s">
        <v>502</v>
      </c>
      <c r="E71" t="str">
        <f t="shared" si="2"/>
        <v>Epic Diamonds Patient Activation</v>
      </c>
      <c r="F71" t="s">
        <v>279</v>
      </c>
      <c r="G71" s="3" t="s">
        <v>282</v>
      </c>
      <c r="H71" t="s">
        <v>28</v>
      </c>
      <c r="I71" s="2" t="s">
        <v>29</v>
      </c>
      <c r="J71" t="s">
        <v>146</v>
      </c>
    </row>
    <row r="72" spans="1:10" x14ac:dyDescent="0.2">
      <c r="A72" t="s">
        <v>23</v>
      </c>
      <c r="B72" t="s">
        <v>203</v>
      </c>
      <c r="C72" t="s">
        <v>129</v>
      </c>
      <c r="D72" t="s">
        <v>561</v>
      </c>
      <c r="E72" t="str">
        <f t="shared" si="2"/>
        <v>ERM Payment Card Data</v>
      </c>
      <c r="F72" t="s">
        <v>127</v>
      </c>
      <c r="G72" s="3" t="s">
        <v>70</v>
      </c>
      <c r="H72" t="s">
        <v>182</v>
      </c>
      <c r="I72" s="2" t="s">
        <v>182</v>
      </c>
      <c r="J72" t="s">
        <v>562</v>
      </c>
    </row>
    <row r="73" spans="1:10" x14ac:dyDescent="0.2">
      <c r="A73" t="s">
        <v>23</v>
      </c>
      <c r="B73" t="s">
        <v>203</v>
      </c>
      <c r="C73" t="s">
        <v>129</v>
      </c>
      <c r="D73" t="s">
        <v>249</v>
      </c>
      <c r="E73" t="str">
        <f t="shared" si="2"/>
        <v>Inpatient in-house authorization</v>
      </c>
      <c r="G73" s="3" t="s">
        <v>206</v>
      </c>
      <c r="H73" t="s">
        <v>38</v>
      </c>
      <c r="I73" s="2">
        <v>2</v>
      </c>
      <c r="J73" t="s">
        <v>563</v>
      </c>
    </row>
    <row r="74" spans="1:10" x14ac:dyDescent="0.2">
      <c r="A74" t="s">
        <v>23</v>
      </c>
      <c r="B74" t="s">
        <v>203</v>
      </c>
      <c r="C74" t="s">
        <v>129</v>
      </c>
      <c r="D74" t="s">
        <v>227</v>
      </c>
      <c r="E74" t="str">
        <f t="shared" si="2"/>
        <v>Link missing Epic Referrals</v>
      </c>
      <c r="G74" s="3" t="s">
        <v>137</v>
      </c>
      <c r="H74" t="s">
        <v>182</v>
      </c>
      <c r="I74" s="2" t="s">
        <v>182</v>
      </c>
      <c r="J74" t="s">
        <v>252</v>
      </c>
    </row>
    <row r="75" spans="1:10" x14ac:dyDescent="0.2">
      <c r="A75" t="s">
        <v>23</v>
      </c>
      <c r="B75" t="s">
        <v>203</v>
      </c>
      <c r="C75" t="s">
        <v>129</v>
      </c>
      <c r="D75" t="s">
        <v>257</v>
      </c>
      <c r="E75" t="str">
        <f t="shared" si="2"/>
        <v>Medical Necessity/Medical Policy</v>
      </c>
      <c r="G75" s="3" t="s">
        <v>137</v>
      </c>
      <c r="H75" t="s">
        <v>182</v>
      </c>
      <c r="I75" s="2" t="s">
        <v>182</v>
      </c>
      <c r="J75" t="s">
        <v>564</v>
      </c>
    </row>
    <row r="76" spans="1:10" x14ac:dyDescent="0.2">
      <c r="A76" t="s">
        <v>23</v>
      </c>
      <c r="B76" t="s">
        <v>203</v>
      </c>
      <c r="C76" t="s">
        <v>129</v>
      </c>
      <c r="D76" t="s">
        <v>241</v>
      </c>
      <c r="E76" t="str">
        <f t="shared" si="2"/>
        <v>NSA/Self Pay Inventory Assignment Rules</v>
      </c>
      <c r="G76" s="3" t="s">
        <v>137</v>
      </c>
      <c r="H76" t="s">
        <v>182</v>
      </c>
      <c r="I76" s="2" t="s">
        <v>182</v>
      </c>
      <c r="J76" t="s">
        <v>565</v>
      </c>
    </row>
    <row r="77" spans="1:10" x14ac:dyDescent="0.2">
      <c r="A77" t="s">
        <v>23</v>
      </c>
      <c r="B77" t="s">
        <v>203</v>
      </c>
      <c r="C77" t="s">
        <v>204</v>
      </c>
      <c r="D77" t="s">
        <v>566</v>
      </c>
      <c r="E77" t="str">
        <f t="shared" si="2"/>
        <v>P2P / PARO intergration</v>
      </c>
      <c r="F77" t="s">
        <v>207</v>
      </c>
      <c r="G77" s="3" t="s">
        <v>70</v>
      </c>
      <c r="H77" t="s">
        <v>28</v>
      </c>
      <c r="I77" s="2" t="s">
        <v>29</v>
      </c>
      <c r="J77" t="s">
        <v>146</v>
      </c>
    </row>
    <row r="78" spans="1:10" x14ac:dyDescent="0.2">
      <c r="A78" t="s">
        <v>23</v>
      </c>
      <c r="B78" t="s">
        <v>203</v>
      </c>
      <c r="C78" t="s">
        <v>129</v>
      </c>
      <c r="D78" t="s">
        <v>501</v>
      </c>
      <c r="E78" t="str">
        <f t="shared" si="2"/>
        <v>Payor updates in EIQ - Enhance PayorIQ w/ LLM</v>
      </c>
      <c r="F78" t="s">
        <v>225</v>
      </c>
      <c r="G78" s="3" t="s">
        <v>70</v>
      </c>
      <c r="H78" t="s">
        <v>56</v>
      </c>
      <c r="I78" s="2">
        <v>1</v>
      </c>
    </row>
    <row r="79" spans="1:10" x14ac:dyDescent="0.2">
      <c r="A79" t="s">
        <v>23</v>
      </c>
      <c r="B79" t="s">
        <v>203</v>
      </c>
      <c r="C79" t="s">
        <v>129</v>
      </c>
      <c r="D79" t="s">
        <v>238</v>
      </c>
      <c r="E79" t="str">
        <f t="shared" si="2"/>
        <v>Pre-registration Module</v>
      </c>
      <c r="G79" s="3" t="s">
        <v>137</v>
      </c>
      <c r="H79" t="s">
        <v>38</v>
      </c>
      <c r="I79" s="2">
        <v>4</v>
      </c>
      <c r="J79" t="s">
        <v>556</v>
      </c>
    </row>
    <row r="80" spans="1:10" x14ac:dyDescent="0.2">
      <c r="A80" t="s">
        <v>23</v>
      </c>
      <c r="B80" t="s">
        <v>203</v>
      </c>
      <c r="C80" t="s">
        <v>129</v>
      </c>
      <c r="D80" t="s">
        <v>255</v>
      </c>
      <c r="E80" t="str">
        <f t="shared" si="2"/>
        <v>Predictive analytics for estimate accuracy per CPT/payor</v>
      </c>
      <c r="G80" s="3" t="s">
        <v>137</v>
      </c>
      <c r="H80" t="s">
        <v>182</v>
      </c>
      <c r="I80" s="2" t="s">
        <v>182</v>
      </c>
      <c r="J80" t="s">
        <v>567</v>
      </c>
    </row>
    <row r="81" spans="1:10" x14ac:dyDescent="0.2">
      <c r="A81" t="s">
        <v>23</v>
      </c>
      <c r="B81" t="s">
        <v>203</v>
      </c>
      <c r="C81" t="s">
        <v>129</v>
      </c>
      <c r="D81" t="s">
        <v>265</v>
      </c>
      <c r="E81" t="str">
        <f t="shared" si="2"/>
        <v>Red/Green Light worklist</v>
      </c>
      <c r="G81" s="3" t="s">
        <v>137</v>
      </c>
      <c r="H81" t="s">
        <v>38</v>
      </c>
      <c r="I81" s="2">
        <v>1</v>
      </c>
      <c r="J81" t="s">
        <v>568</v>
      </c>
    </row>
    <row r="82" spans="1:10" x14ac:dyDescent="0.2">
      <c r="A82" t="s">
        <v>23</v>
      </c>
      <c r="B82" t="s">
        <v>203</v>
      </c>
      <c r="C82" t="s">
        <v>129</v>
      </c>
      <c r="D82" t="s">
        <v>245</v>
      </c>
      <c r="E82" t="str">
        <f t="shared" si="2"/>
        <v>Standardized PreRegistration Inventory Assignment Rules</v>
      </c>
      <c r="G82" s="3" t="s">
        <v>137</v>
      </c>
      <c r="H82" t="s">
        <v>182</v>
      </c>
      <c r="I82" s="2" t="s">
        <v>182</v>
      </c>
      <c r="J82" t="s">
        <v>569</v>
      </c>
    </row>
    <row r="83" spans="1:10" x14ac:dyDescent="0.2">
      <c r="A83" t="s">
        <v>23</v>
      </c>
      <c r="B83" t="s">
        <v>203</v>
      </c>
      <c r="C83" t="s">
        <v>129</v>
      </c>
      <c r="D83" t="s">
        <v>278</v>
      </c>
      <c r="E83" t="str">
        <f t="shared" si="2"/>
        <v>Surgical pathology clinical viewer</v>
      </c>
      <c r="F83" t="s">
        <v>277</v>
      </c>
      <c r="G83" s="3" t="s">
        <v>137</v>
      </c>
      <c r="H83" t="s">
        <v>28</v>
      </c>
      <c r="I83" s="2" t="s">
        <v>29</v>
      </c>
    </row>
    <row r="84" spans="1:10" x14ac:dyDescent="0.2">
      <c r="A84" t="s">
        <v>23</v>
      </c>
      <c r="B84" t="s">
        <v>203</v>
      </c>
      <c r="C84" t="s">
        <v>129</v>
      </c>
      <c r="D84" t="s">
        <v>570</v>
      </c>
      <c r="E84" t="str">
        <f t="shared" si="2"/>
        <v>Visual of estimate status (auto created vs auto finalized)</v>
      </c>
      <c r="G84" s="3" t="s">
        <v>137</v>
      </c>
      <c r="H84" t="s">
        <v>182</v>
      </c>
      <c r="I84" s="2" t="s">
        <v>182</v>
      </c>
      <c r="J84" t="s">
        <v>571</v>
      </c>
    </row>
    <row r="85" spans="1:10" x14ac:dyDescent="0.2">
      <c r="A85" t="s">
        <v>23</v>
      </c>
      <c r="B85" t="s">
        <v>203</v>
      </c>
      <c r="C85" t="s">
        <v>129</v>
      </c>
      <c r="D85" t="s">
        <v>572</v>
      </c>
      <c r="E85" t="str">
        <f t="shared" si="2"/>
        <v>Vyne - Enterprise Faxing</v>
      </c>
      <c r="F85" t="s">
        <v>283</v>
      </c>
      <c r="G85" s="3" t="s">
        <v>288</v>
      </c>
      <c r="H85" t="s">
        <v>28</v>
      </c>
      <c r="I85" s="2" t="s">
        <v>29</v>
      </c>
      <c r="J85" t="s">
        <v>146</v>
      </c>
    </row>
    <row r="86" spans="1:10" x14ac:dyDescent="0.2">
      <c r="A86" t="s">
        <v>23</v>
      </c>
      <c r="B86" t="s">
        <v>203</v>
      </c>
      <c r="C86" t="s">
        <v>204</v>
      </c>
      <c r="D86" t="s">
        <v>573</v>
      </c>
      <c r="E86" t="str">
        <f t="shared" si="2"/>
        <v>Waystar Auth integration</v>
      </c>
      <c r="F86" t="s">
        <v>208</v>
      </c>
      <c r="G86" s="3" t="s">
        <v>206</v>
      </c>
      <c r="H86" t="s">
        <v>28</v>
      </c>
      <c r="I86" s="2" t="s">
        <v>29</v>
      </c>
      <c r="J86" t="s">
        <v>146</v>
      </c>
    </row>
    <row r="87" spans="1:10" x14ac:dyDescent="0.2">
      <c r="A87" t="s">
        <v>23</v>
      </c>
      <c r="B87" t="s">
        <v>280</v>
      </c>
      <c r="C87" t="s">
        <v>295</v>
      </c>
      <c r="D87" t="s">
        <v>486</v>
      </c>
      <c r="E87" t="str">
        <f t="shared" si="2"/>
        <v>: Automating delivery of itemized bills for patients</v>
      </c>
      <c r="F87" t="s">
        <v>286</v>
      </c>
      <c r="G87" s="3" t="s">
        <v>100</v>
      </c>
      <c r="H87" t="s">
        <v>28</v>
      </c>
      <c r="I87" s="2" t="s">
        <v>29</v>
      </c>
      <c r="J87" t="s">
        <v>574</v>
      </c>
    </row>
    <row r="88" spans="1:10" x14ac:dyDescent="0.2">
      <c r="A88" t="s">
        <v>23</v>
      </c>
      <c r="B88" t="s">
        <v>280</v>
      </c>
      <c r="C88" t="s">
        <v>295</v>
      </c>
      <c r="D88" t="s">
        <v>315</v>
      </c>
      <c r="E88" t="str">
        <f t="shared" si="2"/>
        <v>Deploy Five9 Agent Assist to Auto‑Generate Call Summaries</v>
      </c>
      <c r="F88" t="s">
        <v>314</v>
      </c>
      <c r="G88" s="3" t="s">
        <v>100</v>
      </c>
      <c r="H88" t="s">
        <v>28</v>
      </c>
      <c r="I88" s="2" t="s">
        <v>29</v>
      </c>
      <c r="J88" t="s">
        <v>312</v>
      </c>
    </row>
    <row r="89" spans="1:10" x14ac:dyDescent="0.2">
      <c r="A89" t="s">
        <v>23</v>
      </c>
      <c r="B89" t="s">
        <v>280</v>
      </c>
      <c r="C89" t="s">
        <v>295</v>
      </c>
      <c r="D89" t="s">
        <v>300</v>
      </c>
      <c r="E89" t="str">
        <f t="shared" si="2"/>
        <v>Patient Access - Auto scheduling</v>
      </c>
      <c r="F89" t="s">
        <v>294</v>
      </c>
      <c r="G89" s="3" t="s">
        <v>282</v>
      </c>
      <c r="H89" t="s">
        <v>56</v>
      </c>
      <c r="I89" s="2">
        <v>7</v>
      </c>
    </row>
    <row r="90" spans="1:10" x14ac:dyDescent="0.2">
      <c r="A90" t="s">
        <v>23</v>
      </c>
      <c r="B90" t="s">
        <v>280</v>
      </c>
      <c r="C90" t="s">
        <v>295</v>
      </c>
      <c r="D90" t="s">
        <v>298</v>
      </c>
      <c r="E90" t="str">
        <f t="shared" si="2"/>
        <v>Patient Access - Demographics Verification</v>
      </c>
      <c r="F90" t="s">
        <v>294</v>
      </c>
      <c r="G90" s="3" t="s">
        <v>282</v>
      </c>
      <c r="H90" t="s">
        <v>56</v>
      </c>
      <c r="I90" s="2">
        <v>6</v>
      </c>
    </row>
    <row r="91" spans="1:10" x14ac:dyDescent="0.2">
      <c r="A91" t="s">
        <v>23</v>
      </c>
      <c r="B91" t="s">
        <v>280</v>
      </c>
      <c r="C91" t="s">
        <v>295</v>
      </c>
      <c r="D91" t="s">
        <v>296</v>
      </c>
      <c r="E91" t="str">
        <f t="shared" si="2"/>
        <v>Patient Access - Insurance Verification</v>
      </c>
      <c r="F91" t="s">
        <v>294</v>
      </c>
      <c r="G91" s="3" t="s">
        <v>282</v>
      </c>
      <c r="H91" t="s">
        <v>56</v>
      </c>
      <c r="I91" s="2">
        <v>5</v>
      </c>
    </row>
    <row r="92" spans="1:10" x14ac:dyDescent="0.2">
      <c r="A92" t="s">
        <v>23</v>
      </c>
      <c r="B92" t="s">
        <v>280</v>
      </c>
      <c r="C92" t="s">
        <v>295</v>
      </c>
      <c r="D92" t="s">
        <v>483</v>
      </c>
      <c r="E92" t="str">
        <f t="shared" si="2"/>
        <v>Patient Access -Medicaid/charity eligibility screening</v>
      </c>
      <c r="F92" t="s">
        <v>301</v>
      </c>
      <c r="G92" s="3" t="s">
        <v>196</v>
      </c>
      <c r="H92" t="s">
        <v>182</v>
      </c>
      <c r="I92" s="2" t="s">
        <v>182</v>
      </c>
      <c r="J92" t="s">
        <v>302</v>
      </c>
    </row>
    <row r="93" spans="1:10" x14ac:dyDescent="0.2">
      <c r="A93" t="s">
        <v>23</v>
      </c>
      <c r="B93" t="s">
        <v>280</v>
      </c>
      <c r="C93" t="s">
        <v>295</v>
      </c>
      <c r="D93" t="s">
        <v>311</v>
      </c>
      <c r="E93" t="str">
        <f t="shared" si="2"/>
        <v>Patient ID for all CSR and Scheduling</v>
      </c>
      <c r="F93" t="s">
        <v>310</v>
      </c>
      <c r="G93" s="3" t="s">
        <v>100</v>
      </c>
      <c r="H93" t="s">
        <v>28</v>
      </c>
      <c r="I93" s="2" t="s">
        <v>29</v>
      </c>
      <c r="J93" t="s">
        <v>312</v>
      </c>
    </row>
    <row r="94" spans="1:10" x14ac:dyDescent="0.2">
      <c r="A94" t="s">
        <v>23</v>
      </c>
      <c r="B94" t="s">
        <v>280</v>
      </c>
      <c r="C94" t="s">
        <v>295</v>
      </c>
      <c r="D94" t="s">
        <v>575</v>
      </c>
      <c r="E94" t="str">
        <f t="shared" si="2"/>
        <v>Self service balance inquiry</v>
      </c>
      <c r="F94" t="s">
        <v>306</v>
      </c>
      <c r="G94" s="3" t="s">
        <v>100</v>
      </c>
      <c r="H94" t="s">
        <v>28</v>
      </c>
      <c r="I94" s="2" t="s">
        <v>29</v>
      </c>
      <c r="J94" t="s">
        <v>30</v>
      </c>
    </row>
    <row r="95" spans="1:10" x14ac:dyDescent="0.2">
      <c r="A95" t="s">
        <v>23</v>
      </c>
      <c r="B95" t="s">
        <v>280</v>
      </c>
      <c r="C95" t="s">
        <v>295</v>
      </c>
      <c r="D95" t="s">
        <v>576</v>
      </c>
      <c r="E95" t="str">
        <f t="shared" si="2"/>
        <v>Self service denial information</v>
      </c>
      <c r="F95" t="s">
        <v>306</v>
      </c>
      <c r="G95" s="3" t="s">
        <v>100</v>
      </c>
      <c r="H95" t="s">
        <v>28</v>
      </c>
      <c r="I95" s="2" t="s">
        <v>29</v>
      </c>
      <c r="J95" t="s">
        <v>30</v>
      </c>
    </row>
    <row r="96" spans="1:10" x14ac:dyDescent="0.2">
      <c r="A96" t="s">
        <v>23</v>
      </c>
      <c r="B96" t="s">
        <v>175</v>
      </c>
      <c r="C96" t="s">
        <v>513</v>
      </c>
      <c r="D96" t="s">
        <v>577</v>
      </c>
      <c r="E96" t="str">
        <f t="shared" si="2"/>
        <v>Acute credit overpayment letter notification</v>
      </c>
      <c r="F96" t="s">
        <v>381</v>
      </c>
      <c r="G96" s="3" t="s">
        <v>104</v>
      </c>
      <c r="H96" t="s">
        <v>28</v>
      </c>
      <c r="I96" s="2" t="s">
        <v>29</v>
      </c>
      <c r="J96" t="s">
        <v>30</v>
      </c>
    </row>
    <row r="97" spans="1:10" x14ac:dyDescent="0.2">
      <c r="A97" t="s">
        <v>23</v>
      </c>
      <c r="B97" t="s">
        <v>175</v>
      </c>
      <c r="C97" t="s">
        <v>395</v>
      </c>
      <c r="D97" t="s">
        <v>578</v>
      </c>
      <c r="E97" t="str">
        <f t="shared" si="2"/>
        <v>Agentic PoC</v>
      </c>
      <c r="F97" t="s">
        <v>533</v>
      </c>
      <c r="G97" s="3" t="s">
        <v>142</v>
      </c>
      <c r="H97" t="s">
        <v>56</v>
      </c>
      <c r="I97" s="2">
        <v>3</v>
      </c>
    </row>
    <row r="98" spans="1:10" x14ac:dyDescent="0.2">
      <c r="A98" t="s">
        <v>23</v>
      </c>
      <c r="B98" t="s">
        <v>175</v>
      </c>
      <c r="C98" t="s">
        <v>461</v>
      </c>
      <c r="D98" t="s">
        <v>465</v>
      </c>
      <c r="E98" t="str">
        <f t="shared" ref="E98:E129" si="3">TRIM(MID(D98,FIND(":",D98)+1,LEN(D98)))</f>
        <v>Appeal Automation into PRC</v>
      </c>
      <c r="F98" t="s">
        <v>464</v>
      </c>
      <c r="G98" s="3" t="s">
        <v>190</v>
      </c>
      <c r="H98" t="s">
        <v>56</v>
      </c>
      <c r="I98" s="2">
        <v>1</v>
      </c>
    </row>
    <row r="99" spans="1:10" x14ac:dyDescent="0.2">
      <c r="A99" t="s">
        <v>23</v>
      </c>
      <c r="B99" t="s">
        <v>175</v>
      </c>
      <c r="C99" t="s">
        <v>71</v>
      </c>
      <c r="D99" t="s">
        <v>446</v>
      </c>
      <c r="E99" t="str">
        <f t="shared" si="3"/>
        <v>Automate client CDM updates</v>
      </c>
      <c r="F99" t="s">
        <v>533</v>
      </c>
      <c r="G99" s="3" t="s">
        <v>521</v>
      </c>
      <c r="H99" t="s">
        <v>56</v>
      </c>
      <c r="I99" s="2">
        <v>2</v>
      </c>
    </row>
    <row r="100" spans="1:10" x14ac:dyDescent="0.2">
      <c r="A100" t="s">
        <v>23</v>
      </c>
      <c r="B100" t="s">
        <v>175</v>
      </c>
      <c r="C100" t="s">
        <v>326</v>
      </c>
      <c r="D100" t="s">
        <v>497</v>
      </c>
      <c r="E100" t="str">
        <f t="shared" si="3"/>
        <v>Automate EOB submission</v>
      </c>
      <c r="F100" t="s">
        <v>66</v>
      </c>
      <c r="G100" s="3" t="s">
        <v>139</v>
      </c>
      <c r="H100" t="s">
        <v>182</v>
      </c>
      <c r="I100" s="2" t="s">
        <v>182</v>
      </c>
      <c r="J100" t="s">
        <v>579</v>
      </c>
    </row>
    <row r="101" spans="1:10" ht="16" x14ac:dyDescent="0.2">
      <c r="A101" t="s">
        <v>23</v>
      </c>
      <c r="B101" t="s">
        <v>175</v>
      </c>
      <c r="C101" t="s">
        <v>326</v>
      </c>
      <c r="D101" s="4" t="s">
        <v>329</v>
      </c>
      <c r="E101" t="str">
        <f t="shared" si="3"/>
        <v>Automated appeal for ED downgrade</v>
      </c>
      <c r="F101" t="s">
        <v>66</v>
      </c>
      <c r="G101" s="3" t="s">
        <v>139</v>
      </c>
      <c r="H101" t="s">
        <v>28</v>
      </c>
      <c r="I101" s="2" t="s">
        <v>29</v>
      </c>
      <c r="J101" t="s">
        <v>580</v>
      </c>
    </row>
    <row r="102" spans="1:10" x14ac:dyDescent="0.2">
      <c r="A102" t="s">
        <v>23</v>
      </c>
      <c r="B102" t="s">
        <v>175</v>
      </c>
      <c r="C102" t="s">
        <v>326</v>
      </c>
      <c r="D102" t="s">
        <v>581</v>
      </c>
      <c r="E102" t="str">
        <f t="shared" si="3"/>
        <v>Automated appeal low balance clinical denails</v>
      </c>
      <c r="F102" t="s">
        <v>66</v>
      </c>
      <c r="G102" s="3" t="s">
        <v>139</v>
      </c>
      <c r="H102" t="s">
        <v>28</v>
      </c>
      <c r="I102" s="2" t="s">
        <v>29</v>
      </c>
      <c r="J102" t="s">
        <v>30</v>
      </c>
    </row>
    <row r="103" spans="1:10" x14ac:dyDescent="0.2">
      <c r="A103" t="s">
        <v>23</v>
      </c>
      <c r="B103" t="s">
        <v>175</v>
      </c>
      <c r="C103" t="s">
        <v>149</v>
      </c>
      <c r="D103" t="s">
        <v>582</v>
      </c>
      <c r="E103" t="str">
        <f t="shared" si="3"/>
        <v>Automated Document Acquisition from imaging system</v>
      </c>
      <c r="F103" t="s">
        <v>366</v>
      </c>
      <c r="G103" s="3" t="s">
        <v>43</v>
      </c>
      <c r="H103" t="s">
        <v>38</v>
      </c>
      <c r="I103" s="2">
        <v>1</v>
      </c>
      <c r="J103" t="s">
        <v>583</v>
      </c>
    </row>
    <row r="104" spans="1:10" x14ac:dyDescent="0.2">
      <c r="A104" t="s">
        <v>23</v>
      </c>
      <c r="B104" t="s">
        <v>175</v>
      </c>
      <c r="C104" t="s">
        <v>513</v>
      </c>
      <c r="D104" t="s">
        <v>489</v>
      </c>
      <c r="E104" t="str">
        <f t="shared" si="3"/>
        <v>Automated retrival of missing remit</v>
      </c>
      <c r="F104" t="s">
        <v>360</v>
      </c>
      <c r="G104" s="3" t="s">
        <v>358</v>
      </c>
      <c r="H104" t="s">
        <v>28</v>
      </c>
      <c r="I104" s="2" t="s">
        <v>29</v>
      </c>
      <c r="J104" t="s">
        <v>30</v>
      </c>
    </row>
    <row r="105" spans="1:10" x14ac:dyDescent="0.2">
      <c r="A105" t="s">
        <v>23</v>
      </c>
      <c r="B105" t="s">
        <v>175</v>
      </c>
      <c r="C105" t="s">
        <v>339</v>
      </c>
      <c r="D105" t="s">
        <v>340</v>
      </c>
      <c r="E105" t="str">
        <f t="shared" si="3"/>
        <v>Automated self-pay account trial balances</v>
      </c>
      <c r="F105" t="s">
        <v>338</v>
      </c>
      <c r="G105" s="3" t="s">
        <v>100</v>
      </c>
      <c r="H105" t="s">
        <v>182</v>
      </c>
      <c r="I105" s="2" t="s">
        <v>182</v>
      </c>
      <c r="J105" t="s">
        <v>341</v>
      </c>
    </row>
    <row r="106" spans="1:10" ht="16" x14ac:dyDescent="0.2">
      <c r="A106" t="s">
        <v>23</v>
      </c>
      <c r="B106" t="s">
        <v>175</v>
      </c>
      <c r="C106" t="s">
        <v>326</v>
      </c>
      <c r="D106" s="4" t="s">
        <v>498</v>
      </c>
      <c r="E106" t="str">
        <f t="shared" si="3"/>
        <v>Automated submission of RFI data</v>
      </c>
      <c r="F106" t="s">
        <v>66</v>
      </c>
      <c r="G106" s="3" t="s">
        <v>139</v>
      </c>
      <c r="H106" t="s">
        <v>28</v>
      </c>
      <c r="I106" s="2" t="s">
        <v>29</v>
      </c>
      <c r="J106" t="s">
        <v>580</v>
      </c>
    </row>
    <row r="107" spans="1:10" x14ac:dyDescent="0.2">
      <c r="A107" t="s">
        <v>23</v>
      </c>
      <c r="B107" t="s">
        <v>175</v>
      </c>
      <c r="C107" t="s">
        <v>149</v>
      </c>
      <c r="D107" t="s">
        <v>337</v>
      </c>
      <c r="E107" t="str">
        <f t="shared" si="3"/>
        <v>Bad Debt Workflow Automation</v>
      </c>
      <c r="F107" t="s">
        <v>336</v>
      </c>
      <c r="G107" s="3" t="s">
        <v>100</v>
      </c>
      <c r="H107" t="s">
        <v>56</v>
      </c>
      <c r="I107" s="2">
        <v>1</v>
      </c>
    </row>
    <row r="108" spans="1:10" x14ac:dyDescent="0.2">
      <c r="A108" t="s">
        <v>23</v>
      </c>
      <c r="B108" t="s">
        <v>175</v>
      </c>
      <c r="C108" t="s">
        <v>513</v>
      </c>
      <c r="D108" t="s">
        <v>488</v>
      </c>
      <c r="E108" t="str">
        <f t="shared" si="3"/>
        <v>Cash posting error reason and recommendation</v>
      </c>
      <c r="F108" t="s">
        <v>360</v>
      </c>
      <c r="G108" s="3" t="s">
        <v>358</v>
      </c>
      <c r="H108" t="s">
        <v>28</v>
      </c>
      <c r="I108" s="2" t="s">
        <v>29</v>
      </c>
      <c r="J108" t="s">
        <v>30</v>
      </c>
    </row>
    <row r="109" spans="1:10" x14ac:dyDescent="0.2">
      <c r="A109" t="s">
        <v>23</v>
      </c>
      <c r="B109" t="s">
        <v>175</v>
      </c>
      <c r="C109" t="s">
        <v>513</v>
      </c>
      <c r="D109" t="s">
        <v>490</v>
      </c>
      <c r="E109" t="str">
        <f t="shared" si="3"/>
        <v>Cash posting error reports</v>
      </c>
      <c r="F109" t="s">
        <v>360</v>
      </c>
      <c r="G109" s="3" t="s">
        <v>358</v>
      </c>
      <c r="H109" t="s">
        <v>28</v>
      </c>
      <c r="I109" s="2" t="s">
        <v>29</v>
      </c>
      <c r="J109" t="s">
        <v>30</v>
      </c>
    </row>
    <row r="110" spans="1:10" x14ac:dyDescent="0.2">
      <c r="A110" t="s">
        <v>23</v>
      </c>
      <c r="B110" t="s">
        <v>175</v>
      </c>
      <c r="C110" t="s">
        <v>513</v>
      </c>
      <c r="D110" t="s">
        <v>491</v>
      </c>
      <c r="E110" t="str">
        <f t="shared" si="3"/>
        <v>Cash recon performance enhancements</v>
      </c>
      <c r="F110" t="s">
        <v>356</v>
      </c>
      <c r="G110" s="3" t="s">
        <v>358</v>
      </c>
      <c r="H110" t="s">
        <v>28</v>
      </c>
      <c r="I110" s="2" t="s">
        <v>29</v>
      </c>
      <c r="J110" t="s">
        <v>30</v>
      </c>
    </row>
    <row r="111" spans="1:10" x14ac:dyDescent="0.2">
      <c r="A111" t="s">
        <v>23</v>
      </c>
      <c r="B111" t="s">
        <v>175</v>
      </c>
      <c r="C111" t="s">
        <v>513</v>
      </c>
      <c r="D111" t="s">
        <v>584</v>
      </c>
      <c r="E111" t="str">
        <f t="shared" si="3"/>
        <v>Clearing account and non-patient cash reporting</v>
      </c>
      <c r="F111" t="s">
        <v>356</v>
      </c>
      <c r="G111" s="3" t="s">
        <v>358</v>
      </c>
      <c r="H111" t="s">
        <v>28</v>
      </c>
      <c r="I111" s="2" t="s">
        <v>29</v>
      </c>
      <c r="J111" t="s">
        <v>364</v>
      </c>
    </row>
    <row r="112" spans="1:10" x14ac:dyDescent="0.2">
      <c r="A112" t="s">
        <v>23</v>
      </c>
      <c r="B112" t="s">
        <v>175</v>
      </c>
      <c r="C112" t="s">
        <v>149</v>
      </c>
      <c r="D112" t="s">
        <v>371</v>
      </c>
      <c r="E112" t="str">
        <f t="shared" si="3"/>
        <v>Correspondence through SSI</v>
      </c>
      <c r="F112" t="s">
        <v>370</v>
      </c>
      <c r="G112" s="3" t="s">
        <v>288</v>
      </c>
      <c r="H112" t="s">
        <v>182</v>
      </c>
      <c r="I112" s="2" t="s">
        <v>182</v>
      </c>
      <c r="J112" t="s">
        <v>372</v>
      </c>
    </row>
    <row r="113" spans="1:10" x14ac:dyDescent="0.2">
      <c r="A113" t="s">
        <v>23</v>
      </c>
      <c r="B113" t="s">
        <v>175</v>
      </c>
      <c r="C113" t="s">
        <v>149</v>
      </c>
      <c r="D113" t="s">
        <v>494</v>
      </c>
      <c r="E113" t="str">
        <f t="shared" si="3"/>
        <v>Create appeal records from audit letters</v>
      </c>
      <c r="F113" t="s">
        <v>366</v>
      </c>
      <c r="G113" s="3" t="s">
        <v>43</v>
      </c>
      <c r="H113" t="s">
        <v>56</v>
      </c>
      <c r="I113" s="2">
        <v>3</v>
      </c>
    </row>
    <row r="114" spans="1:10" x14ac:dyDescent="0.2">
      <c r="A114" t="s">
        <v>23</v>
      </c>
      <c r="B114" t="s">
        <v>175</v>
      </c>
      <c r="C114" t="s">
        <v>461</v>
      </c>
      <c r="D114" t="s">
        <v>495</v>
      </c>
      <c r="E114" t="str">
        <f t="shared" si="3"/>
        <v>Credit overpayment letter</v>
      </c>
      <c r="F114" t="s">
        <v>585</v>
      </c>
      <c r="G114" s="3" t="s">
        <v>139</v>
      </c>
      <c r="H114" t="s">
        <v>56</v>
      </c>
      <c r="I114" s="2">
        <v>2</v>
      </c>
    </row>
    <row r="115" spans="1:10" x14ac:dyDescent="0.2">
      <c r="A115" t="s">
        <v>23</v>
      </c>
      <c r="B115" t="s">
        <v>175</v>
      </c>
      <c r="C115" t="s">
        <v>71</v>
      </c>
      <c r="D115" t="s">
        <v>439</v>
      </c>
      <c r="E115" t="str">
        <f t="shared" si="3"/>
        <v>DDS Reporting</v>
      </c>
      <c r="F115" t="s">
        <v>438</v>
      </c>
      <c r="G115" s="3" t="s">
        <v>521</v>
      </c>
      <c r="H115" t="s">
        <v>28</v>
      </c>
      <c r="I115" s="2" t="s">
        <v>29</v>
      </c>
      <c r="J115" t="s">
        <v>30</v>
      </c>
    </row>
    <row r="116" spans="1:10" x14ac:dyDescent="0.2">
      <c r="A116" t="s">
        <v>23</v>
      </c>
      <c r="B116" t="s">
        <v>175</v>
      </c>
      <c r="C116" t="s">
        <v>461</v>
      </c>
      <c r="D116" t="s">
        <v>468</v>
      </c>
      <c r="E116" t="str">
        <f t="shared" si="3"/>
        <v>EIQ Collect</v>
      </c>
      <c r="F116" t="s">
        <v>467</v>
      </c>
      <c r="G116" s="3" t="s">
        <v>190</v>
      </c>
      <c r="H116" t="s">
        <v>182</v>
      </c>
      <c r="I116" s="2" t="s">
        <v>182</v>
      </c>
      <c r="J116" t="s">
        <v>586</v>
      </c>
    </row>
    <row r="117" spans="1:10" x14ac:dyDescent="0.2">
      <c r="A117" t="s">
        <v>23</v>
      </c>
      <c r="B117" t="s">
        <v>175</v>
      </c>
      <c r="C117" t="s">
        <v>461</v>
      </c>
      <c r="D117" t="s">
        <v>587</v>
      </c>
      <c r="E117" t="str">
        <f t="shared" si="3"/>
        <v>EIQ Connect (PRO)</v>
      </c>
      <c r="F117" t="s">
        <v>469</v>
      </c>
      <c r="G117" s="3" t="s">
        <v>190</v>
      </c>
      <c r="H117" t="s">
        <v>182</v>
      </c>
      <c r="I117" s="2" t="s">
        <v>182</v>
      </c>
      <c r="J117" t="s">
        <v>586</v>
      </c>
    </row>
    <row r="118" spans="1:10" x14ac:dyDescent="0.2">
      <c r="A118" t="s">
        <v>23</v>
      </c>
      <c r="B118" t="s">
        <v>175</v>
      </c>
      <c r="C118" t="s">
        <v>149</v>
      </c>
      <c r="D118" t="s">
        <v>390</v>
      </c>
      <c r="E118" t="str">
        <f t="shared" si="3"/>
        <v>Enable offshore Epic work</v>
      </c>
      <c r="F118" t="s">
        <v>389</v>
      </c>
      <c r="G118" s="3" t="s">
        <v>139</v>
      </c>
      <c r="H118" t="s">
        <v>28</v>
      </c>
      <c r="I118" s="2" t="s">
        <v>29</v>
      </c>
      <c r="J118" t="s">
        <v>45</v>
      </c>
    </row>
    <row r="119" spans="1:10" x14ac:dyDescent="0.2">
      <c r="A119" t="s">
        <v>23</v>
      </c>
      <c r="B119" t="s">
        <v>175</v>
      </c>
      <c r="C119" t="s">
        <v>513</v>
      </c>
      <c r="D119" t="s">
        <v>505</v>
      </c>
      <c r="E119" t="str">
        <f t="shared" si="3"/>
        <v>Identify and correct remittance errors using charge file</v>
      </c>
      <c r="F119" t="s">
        <v>360</v>
      </c>
      <c r="G119" s="3" t="s">
        <v>358</v>
      </c>
      <c r="H119" t="s">
        <v>56</v>
      </c>
      <c r="I119" s="2">
        <v>2</v>
      </c>
    </row>
    <row r="120" spans="1:10" x14ac:dyDescent="0.2">
      <c r="A120" t="s">
        <v>23</v>
      </c>
      <c r="B120" t="s">
        <v>175</v>
      </c>
      <c r="C120" t="s">
        <v>71</v>
      </c>
      <c r="D120" t="s">
        <v>449</v>
      </c>
      <c r="E120" t="str">
        <f t="shared" si="3"/>
        <v>Identify missing CC/MCC using LLM</v>
      </c>
      <c r="F120" t="s">
        <v>448</v>
      </c>
      <c r="G120" s="3" t="s">
        <v>450</v>
      </c>
      <c r="H120" t="s">
        <v>28</v>
      </c>
      <c r="I120" s="2" t="s">
        <v>29</v>
      </c>
      <c r="J120" t="s">
        <v>588</v>
      </c>
    </row>
    <row r="121" spans="1:10" x14ac:dyDescent="0.2">
      <c r="A121" t="s">
        <v>23</v>
      </c>
      <c r="B121" t="s">
        <v>175</v>
      </c>
      <c r="C121" t="s">
        <v>71</v>
      </c>
      <c r="D121" t="s">
        <v>589</v>
      </c>
      <c r="E121" t="str">
        <f t="shared" si="3"/>
        <v>Lift calculation for CDI, Code Change, and Coding Validation</v>
      </c>
      <c r="F121" t="s">
        <v>533</v>
      </c>
      <c r="G121" s="3" t="s">
        <v>521</v>
      </c>
      <c r="H121" t="s">
        <v>56</v>
      </c>
      <c r="I121" s="2">
        <v>1</v>
      </c>
    </row>
    <row r="122" spans="1:10" x14ac:dyDescent="0.2">
      <c r="A122" t="s">
        <v>23</v>
      </c>
      <c r="B122" t="s">
        <v>175</v>
      </c>
      <c r="C122" t="s">
        <v>513</v>
      </c>
      <c r="D122" t="s">
        <v>487</v>
      </c>
      <c r="E122" t="str">
        <f t="shared" si="3"/>
        <v>Offsetting transaction resolution</v>
      </c>
      <c r="F122" t="s">
        <v>356</v>
      </c>
      <c r="G122" s="3" t="s">
        <v>358</v>
      </c>
      <c r="H122" t="s">
        <v>56</v>
      </c>
      <c r="I122" s="2">
        <v>1</v>
      </c>
    </row>
    <row r="123" spans="1:10" x14ac:dyDescent="0.2">
      <c r="A123" t="s">
        <v>23</v>
      </c>
      <c r="B123" t="s">
        <v>175</v>
      </c>
      <c r="C123" t="s">
        <v>339</v>
      </c>
      <c r="D123" t="s">
        <v>342</v>
      </c>
      <c r="E123" t="str">
        <f t="shared" si="3"/>
        <v>Payor agent hold</v>
      </c>
      <c r="F123" t="s">
        <v>309</v>
      </c>
      <c r="G123" s="3" t="s">
        <v>139</v>
      </c>
      <c r="H123" t="s">
        <v>56</v>
      </c>
      <c r="I123" s="2">
        <v>2</v>
      </c>
    </row>
    <row r="124" spans="1:10" x14ac:dyDescent="0.2">
      <c r="A124" t="s">
        <v>23</v>
      </c>
      <c r="B124" t="s">
        <v>175</v>
      </c>
      <c r="C124" t="s">
        <v>339</v>
      </c>
      <c r="D124" t="s">
        <v>352</v>
      </c>
      <c r="E124" t="str">
        <f t="shared" si="3"/>
        <v>Payor agent hold - underpayments</v>
      </c>
      <c r="F124" t="s">
        <v>351</v>
      </c>
      <c r="G124" s="3" t="s">
        <v>142</v>
      </c>
      <c r="H124" t="s">
        <v>182</v>
      </c>
      <c r="I124" s="2">
        <v>3</v>
      </c>
      <c r="J124" t="s">
        <v>353</v>
      </c>
    </row>
    <row r="125" spans="1:10" x14ac:dyDescent="0.2">
      <c r="A125" t="s">
        <v>23</v>
      </c>
      <c r="B125" t="s">
        <v>175</v>
      </c>
      <c r="C125" t="s">
        <v>461</v>
      </c>
      <c r="D125" t="s">
        <v>496</v>
      </c>
      <c r="E125" t="str">
        <f t="shared" si="3"/>
        <v>Payor Agent Implementation</v>
      </c>
      <c r="F125" t="s">
        <v>462</v>
      </c>
      <c r="G125" s="3" t="s">
        <v>190</v>
      </c>
      <c r="H125" t="s">
        <v>28</v>
      </c>
      <c r="I125" s="2" t="s">
        <v>29</v>
      </c>
      <c r="J125" t="s">
        <v>463</v>
      </c>
    </row>
    <row r="126" spans="1:10" x14ac:dyDescent="0.2">
      <c r="A126" t="s">
        <v>23</v>
      </c>
      <c r="B126" t="s">
        <v>175</v>
      </c>
      <c r="C126" t="s">
        <v>326</v>
      </c>
      <c r="D126" t="s">
        <v>590</v>
      </c>
      <c r="E126" t="str">
        <f t="shared" si="3"/>
        <v>Recover unsbmitted ED downgrades revenue</v>
      </c>
      <c r="F126" t="s">
        <v>66</v>
      </c>
      <c r="G126" s="3" t="s">
        <v>139</v>
      </c>
      <c r="H126" t="s">
        <v>28</v>
      </c>
      <c r="I126" s="2" t="s">
        <v>29</v>
      </c>
      <c r="J126" t="s">
        <v>331</v>
      </c>
    </row>
    <row r="127" spans="1:10" x14ac:dyDescent="0.2">
      <c r="A127" t="s">
        <v>23</v>
      </c>
      <c r="B127" t="s">
        <v>175</v>
      </c>
      <c r="C127" t="s">
        <v>339</v>
      </c>
      <c r="D127" t="s">
        <v>345</v>
      </c>
      <c r="E127" t="str">
        <f t="shared" si="3"/>
        <v>Resolve aged, no response - Acute</v>
      </c>
      <c r="F127" t="s">
        <v>333</v>
      </c>
      <c r="G127" s="3" t="s">
        <v>139</v>
      </c>
      <c r="H127" t="s">
        <v>28</v>
      </c>
      <c r="I127" s="2" t="s">
        <v>29</v>
      </c>
      <c r="J127" t="s">
        <v>30</v>
      </c>
    </row>
    <row r="128" spans="1:10" x14ac:dyDescent="0.2">
      <c r="A128" t="s">
        <v>23</v>
      </c>
      <c r="B128" t="s">
        <v>175</v>
      </c>
      <c r="C128" t="s">
        <v>461</v>
      </c>
      <c r="D128" t="s">
        <v>473</v>
      </c>
      <c r="E128" t="str">
        <f t="shared" si="3"/>
        <v>Resolve aged, no response - PRC</v>
      </c>
      <c r="F128" t="s">
        <v>333</v>
      </c>
      <c r="G128" s="3" t="s">
        <v>139</v>
      </c>
      <c r="H128" t="s">
        <v>28</v>
      </c>
      <c r="I128" s="2" t="s">
        <v>29</v>
      </c>
      <c r="J128" t="s">
        <v>30</v>
      </c>
    </row>
    <row r="129" spans="1:10" x14ac:dyDescent="0.2">
      <c r="A129" t="s">
        <v>23</v>
      </c>
      <c r="B129" t="s">
        <v>175</v>
      </c>
      <c r="C129" t="s">
        <v>461</v>
      </c>
      <c r="D129" t="s">
        <v>470</v>
      </c>
      <c r="E129" t="str">
        <f t="shared" si="3"/>
        <v>Resolve denied PRC accounts</v>
      </c>
      <c r="F129" t="s">
        <v>333</v>
      </c>
      <c r="G129" s="3" t="s">
        <v>139</v>
      </c>
      <c r="H129" t="s">
        <v>28</v>
      </c>
      <c r="I129" s="2" t="s">
        <v>29</v>
      </c>
      <c r="J129" t="s">
        <v>30</v>
      </c>
    </row>
    <row r="130" spans="1:10" x14ac:dyDescent="0.2">
      <c r="A130" t="s">
        <v>23</v>
      </c>
      <c r="B130" t="s">
        <v>175</v>
      </c>
      <c r="C130" t="s">
        <v>339</v>
      </c>
      <c r="D130" t="s">
        <v>343</v>
      </c>
      <c r="E130" t="str">
        <f t="shared" ref="E130:E155" si="4">TRIM(MID(D130,FIND(":",D130)+1,LEN(D130)))</f>
        <v>Resolve insurance paid, no denials</v>
      </c>
      <c r="F130" t="s">
        <v>333</v>
      </c>
      <c r="G130" s="3" t="s">
        <v>139</v>
      </c>
      <c r="H130" t="s">
        <v>28</v>
      </c>
      <c r="I130" s="2" t="s">
        <v>29</v>
      </c>
      <c r="J130" t="s">
        <v>30</v>
      </c>
    </row>
    <row r="131" spans="1:10" x14ac:dyDescent="0.2">
      <c r="A131" t="s">
        <v>23</v>
      </c>
      <c r="B131" t="s">
        <v>175</v>
      </c>
      <c r="C131" t="s">
        <v>339</v>
      </c>
      <c r="D131" t="s">
        <v>343</v>
      </c>
      <c r="E131" t="str">
        <f t="shared" si="4"/>
        <v>Resolve insurance paid, no denials</v>
      </c>
      <c r="F131" t="s">
        <v>333</v>
      </c>
      <c r="G131" s="3" t="s">
        <v>139</v>
      </c>
      <c r="H131" t="s">
        <v>28</v>
      </c>
      <c r="I131" s="2" t="s">
        <v>29</v>
      </c>
      <c r="J131" t="s">
        <v>30</v>
      </c>
    </row>
    <row r="132" spans="1:10" x14ac:dyDescent="0.2">
      <c r="A132" t="s">
        <v>23</v>
      </c>
      <c r="B132" t="s">
        <v>175</v>
      </c>
      <c r="C132" t="s">
        <v>339</v>
      </c>
      <c r="D132" t="s">
        <v>349</v>
      </c>
      <c r="E132" t="str">
        <f t="shared" si="4"/>
        <v>Resolve technical denials</v>
      </c>
      <c r="F132" t="s">
        <v>333</v>
      </c>
      <c r="G132" s="3" t="s">
        <v>139</v>
      </c>
      <c r="H132" t="s">
        <v>28</v>
      </c>
      <c r="I132" s="2" t="s">
        <v>29</v>
      </c>
      <c r="J132" t="s">
        <v>30</v>
      </c>
    </row>
    <row r="133" spans="1:10" x14ac:dyDescent="0.2">
      <c r="A133" t="s">
        <v>23</v>
      </c>
      <c r="B133" t="s">
        <v>175</v>
      </c>
      <c r="C133" t="s">
        <v>326</v>
      </c>
      <c r="D133" t="s">
        <v>327</v>
      </c>
      <c r="E133" t="str">
        <f t="shared" si="4"/>
        <v>RFI/ ED Downgrade analytics</v>
      </c>
      <c r="F133" t="s">
        <v>325</v>
      </c>
      <c r="G133" s="3" t="s">
        <v>139</v>
      </c>
      <c r="H133" t="s">
        <v>28</v>
      </c>
      <c r="I133" s="2" t="s">
        <v>29</v>
      </c>
      <c r="J133" t="s">
        <v>328</v>
      </c>
    </row>
    <row r="134" spans="1:10" x14ac:dyDescent="0.2">
      <c r="A134" t="s">
        <v>23</v>
      </c>
      <c r="B134" t="s">
        <v>175</v>
      </c>
      <c r="C134" t="s">
        <v>326</v>
      </c>
      <c r="D134" t="s">
        <v>335</v>
      </c>
      <c r="E134" t="str">
        <f t="shared" si="4"/>
        <v>Submit ED Downgrades and RFIs</v>
      </c>
      <c r="F134" t="s">
        <v>66</v>
      </c>
      <c r="G134" s="3" t="s">
        <v>139</v>
      </c>
      <c r="H134" t="s">
        <v>28</v>
      </c>
      <c r="I134" s="2" t="s">
        <v>29</v>
      </c>
      <c r="J134" t="s">
        <v>30</v>
      </c>
    </row>
    <row r="135" spans="1:10" x14ac:dyDescent="0.2">
      <c r="A135" t="s">
        <v>23</v>
      </c>
      <c r="B135" t="s">
        <v>175</v>
      </c>
      <c r="C135" t="s">
        <v>339</v>
      </c>
      <c r="D135" t="s">
        <v>348</v>
      </c>
      <c r="E135" t="str">
        <f t="shared" si="4"/>
        <v>Submit RFI requested documentation based on denial prediction</v>
      </c>
      <c r="F135" t="s">
        <v>347</v>
      </c>
      <c r="G135" s="3" t="s">
        <v>139</v>
      </c>
      <c r="H135" t="s">
        <v>182</v>
      </c>
      <c r="I135" s="2" t="s">
        <v>182</v>
      </c>
      <c r="J135" t="s">
        <v>591</v>
      </c>
    </row>
    <row r="136" spans="1:10" x14ac:dyDescent="0.2">
      <c r="A136" t="s">
        <v>23</v>
      </c>
      <c r="B136" t="s">
        <v>175</v>
      </c>
      <c r="C136" t="s">
        <v>339</v>
      </c>
      <c r="D136" t="s">
        <v>355</v>
      </c>
      <c r="E136" t="str">
        <f t="shared" si="4"/>
        <v>Underpayments - streamline research of accounts that need follow-up</v>
      </c>
      <c r="F136" t="s">
        <v>354</v>
      </c>
      <c r="G136" s="3" t="s">
        <v>142</v>
      </c>
      <c r="H136" t="s">
        <v>56</v>
      </c>
      <c r="I136" s="2">
        <v>1</v>
      </c>
    </row>
    <row r="137" spans="1:10" x14ac:dyDescent="0.2">
      <c r="A137" t="s">
        <v>131</v>
      </c>
      <c r="B137" t="s">
        <v>180</v>
      </c>
      <c r="C137" t="s">
        <v>546</v>
      </c>
      <c r="D137" t="s">
        <v>592</v>
      </c>
      <c r="E137" t="str">
        <f t="shared" si="4"/>
        <v>Coverage discovery integration - Waystar</v>
      </c>
      <c r="G137" s="3" t="s">
        <v>137</v>
      </c>
      <c r="H137" t="s">
        <v>28</v>
      </c>
      <c r="I137" s="2" t="s">
        <v>29</v>
      </c>
      <c r="J137" t="s">
        <v>593</v>
      </c>
    </row>
    <row r="138" spans="1:10" x14ac:dyDescent="0.2">
      <c r="A138" t="s">
        <v>131</v>
      </c>
      <c r="B138" t="s">
        <v>203</v>
      </c>
      <c r="C138" t="s">
        <v>129</v>
      </c>
      <c r="D138" t="s">
        <v>594</v>
      </c>
      <c r="E138" t="str">
        <f t="shared" si="4"/>
        <v>Clear action log of cancelled Auth</v>
      </c>
      <c r="G138" s="3" t="s">
        <v>137</v>
      </c>
      <c r="H138" t="s">
        <v>510</v>
      </c>
      <c r="I138" s="2" t="s">
        <v>510</v>
      </c>
      <c r="J138" t="s">
        <v>510</v>
      </c>
    </row>
    <row r="139" spans="1:10" x14ac:dyDescent="0.2">
      <c r="A139" t="s">
        <v>131</v>
      </c>
      <c r="B139" t="s">
        <v>203</v>
      </c>
      <c r="C139" t="s">
        <v>129</v>
      </c>
      <c r="D139" t="s">
        <v>595</v>
      </c>
      <c r="E139" t="str">
        <f t="shared" si="4"/>
        <v>Post benefits notes back to host</v>
      </c>
      <c r="G139" s="3" t="s">
        <v>137</v>
      </c>
      <c r="H139" t="s">
        <v>510</v>
      </c>
      <c r="I139" s="2">
        <v>3</v>
      </c>
      <c r="J139" t="s">
        <v>596</v>
      </c>
    </row>
    <row r="140" spans="1:10" x14ac:dyDescent="0.2">
      <c r="A140" t="s">
        <v>131</v>
      </c>
      <c r="B140" t="s">
        <v>175</v>
      </c>
      <c r="C140" t="s">
        <v>71</v>
      </c>
      <c r="D140" t="s">
        <v>597</v>
      </c>
      <c r="E140" t="str">
        <f t="shared" si="4"/>
        <v>[Pending]</v>
      </c>
      <c r="F140" t="s">
        <v>443</v>
      </c>
      <c r="G140" s="3" t="s">
        <v>216</v>
      </c>
      <c r="H140" t="s">
        <v>182</v>
      </c>
      <c r="I140" s="2" t="s">
        <v>182</v>
      </c>
      <c r="J140" t="s">
        <v>598</v>
      </c>
    </row>
    <row r="141" spans="1:10" x14ac:dyDescent="0.2">
      <c r="A141" t="s">
        <v>131</v>
      </c>
      <c r="B141" t="s">
        <v>175</v>
      </c>
      <c r="C141" t="s">
        <v>149</v>
      </c>
      <c r="D141" t="s">
        <v>493</v>
      </c>
      <c r="E141" t="str">
        <f t="shared" si="4"/>
        <v>Appeal record linking</v>
      </c>
      <c r="F141" t="s">
        <v>366</v>
      </c>
      <c r="G141" s="3" t="s">
        <v>43</v>
      </c>
      <c r="H141" t="s">
        <v>56</v>
      </c>
      <c r="I141" s="2">
        <v>4</v>
      </c>
    </row>
    <row r="142" spans="1:10" x14ac:dyDescent="0.2">
      <c r="A142" t="s">
        <v>131</v>
      </c>
      <c r="B142" t="s">
        <v>175</v>
      </c>
      <c r="C142" t="s">
        <v>149</v>
      </c>
      <c r="D142" t="s">
        <v>384</v>
      </c>
      <c r="E142" t="str">
        <f t="shared" si="4"/>
        <v>Appeal strength calculator</v>
      </c>
      <c r="F142" t="s">
        <v>366</v>
      </c>
      <c r="G142" s="3" t="s">
        <v>43</v>
      </c>
      <c r="H142" t="s">
        <v>28</v>
      </c>
      <c r="I142" s="2" t="s">
        <v>29</v>
      </c>
      <c r="J142" t="s">
        <v>599</v>
      </c>
    </row>
    <row r="143" spans="1:10" x14ac:dyDescent="0.2">
      <c r="A143" t="s">
        <v>131</v>
      </c>
      <c r="B143" t="s">
        <v>175</v>
      </c>
      <c r="C143" t="s">
        <v>149</v>
      </c>
      <c r="D143" t="s">
        <v>600</v>
      </c>
      <c r="E143" t="str">
        <f t="shared" si="4"/>
        <v>Audit Module Enhancements</v>
      </c>
      <c r="F143" t="s">
        <v>601</v>
      </c>
      <c r="G143" s="3" t="s">
        <v>70</v>
      </c>
      <c r="H143" t="s">
        <v>56</v>
      </c>
      <c r="I143" s="2">
        <v>5</v>
      </c>
    </row>
    <row r="144" spans="1:10" x14ac:dyDescent="0.2">
      <c r="A144" t="s">
        <v>131</v>
      </c>
      <c r="B144" t="s">
        <v>175</v>
      </c>
      <c r="C144" t="s">
        <v>149</v>
      </c>
      <c r="D144" t="s">
        <v>492</v>
      </c>
      <c r="E144" t="str">
        <f t="shared" si="4"/>
        <v>Automate creation and data input of appeal record</v>
      </c>
      <c r="F144" t="s">
        <v>366</v>
      </c>
      <c r="G144" s="3" t="s">
        <v>43</v>
      </c>
      <c r="H144" t="s">
        <v>56</v>
      </c>
      <c r="I144" s="2">
        <v>2</v>
      </c>
    </row>
    <row r="145" spans="1:10" x14ac:dyDescent="0.2">
      <c r="A145" t="s">
        <v>131</v>
      </c>
      <c r="B145" t="s">
        <v>175</v>
      </c>
      <c r="C145" t="s">
        <v>149</v>
      </c>
      <c r="D145" t="s">
        <v>387</v>
      </c>
      <c r="E145" t="str">
        <f t="shared" si="4"/>
        <v>Claim Status (Acute)</v>
      </c>
      <c r="F145" t="s">
        <v>386</v>
      </c>
      <c r="G145" s="3" t="s">
        <v>139</v>
      </c>
      <c r="H145" t="s">
        <v>28</v>
      </c>
      <c r="I145" s="2" t="s">
        <v>29</v>
      </c>
      <c r="J145" t="s">
        <v>45</v>
      </c>
    </row>
    <row r="146" spans="1:10" x14ac:dyDescent="0.2">
      <c r="A146" t="s">
        <v>131</v>
      </c>
      <c r="B146" t="s">
        <v>175</v>
      </c>
      <c r="C146" t="s">
        <v>395</v>
      </c>
      <c r="D146" t="s">
        <v>400</v>
      </c>
      <c r="E146" t="str">
        <f t="shared" si="4"/>
        <v>Contract management calculations - CAH</v>
      </c>
      <c r="F146" t="s">
        <v>533</v>
      </c>
      <c r="G146" s="3" t="s">
        <v>67</v>
      </c>
      <c r="H146" t="s">
        <v>56</v>
      </c>
      <c r="I146" s="2">
        <v>7</v>
      </c>
    </row>
    <row r="147" spans="1:10" x14ac:dyDescent="0.2">
      <c r="A147" t="s">
        <v>131</v>
      </c>
      <c r="B147" t="s">
        <v>175</v>
      </c>
      <c r="C147" t="s">
        <v>395</v>
      </c>
      <c r="D147" t="s">
        <v>409</v>
      </c>
      <c r="E147" t="str">
        <f t="shared" si="4"/>
        <v>Contract management calculations - MCR SNF</v>
      </c>
      <c r="F147" t="s">
        <v>533</v>
      </c>
      <c r="G147" s="3" t="s">
        <v>67</v>
      </c>
      <c r="H147" t="s">
        <v>56</v>
      </c>
      <c r="I147" s="2">
        <v>6</v>
      </c>
    </row>
    <row r="148" spans="1:10" x14ac:dyDescent="0.2">
      <c r="A148" t="s">
        <v>131</v>
      </c>
      <c r="B148" t="s">
        <v>175</v>
      </c>
      <c r="C148" t="s">
        <v>395</v>
      </c>
      <c r="D148" t="s">
        <v>411</v>
      </c>
      <c r="E148" t="str">
        <f t="shared" si="4"/>
        <v>Contract management calculations - MCRIRF</v>
      </c>
      <c r="F148" t="s">
        <v>533</v>
      </c>
      <c r="G148" s="3" t="s">
        <v>67</v>
      </c>
      <c r="H148" t="s">
        <v>56</v>
      </c>
      <c r="I148" s="2">
        <v>5</v>
      </c>
    </row>
    <row r="149" spans="1:10" x14ac:dyDescent="0.2">
      <c r="A149" t="s">
        <v>131</v>
      </c>
      <c r="B149" t="s">
        <v>175</v>
      </c>
      <c r="C149" t="s">
        <v>395</v>
      </c>
      <c r="D149" t="s">
        <v>402</v>
      </c>
      <c r="E149" t="str">
        <f t="shared" si="4"/>
        <v>Contract management calculations - State MCD APR-DRG IP</v>
      </c>
      <c r="F149" t="s">
        <v>533</v>
      </c>
      <c r="G149" s="3" t="s">
        <v>67</v>
      </c>
      <c r="H149" t="s">
        <v>56</v>
      </c>
      <c r="I149" s="2">
        <v>1</v>
      </c>
    </row>
    <row r="150" spans="1:10" x14ac:dyDescent="0.2">
      <c r="A150" t="s">
        <v>131</v>
      </c>
      <c r="B150" t="s">
        <v>175</v>
      </c>
      <c r="C150" t="s">
        <v>395</v>
      </c>
      <c r="D150" t="s">
        <v>413</v>
      </c>
      <c r="E150" t="str">
        <f t="shared" si="4"/>
        <v>Contract management calculations - State MCD EAPG OP</v>
      </c>
      <c r="F150" t="s">
        <v>533</v>
      </c>
      <c r="G150" s="3" t="s">
        <v>67</v>
      </c>
      <c r="H150" t="s">
        <v>56</v>
      </c>
      <c r="I150" s="2">
        <v>2</v>
      </c>
    </row>
    <row r="151" spans="1:10" x14ac:dyDescent="0.2">
      <c r="A151" t="s">
        <v>131</v>
      </c>
      <c r="B151" t="s">
        <v>175</v>
      </c>
      <c r="C151" t="s">
        <v>395</v>
      </c>
      <c r="D151" t="s">
        <v>415</v>
      </c>
      <c r="E151" t="str">
        <f t="shared" si="4"/>
        <v>Contract management calculations - Transplants</v>
      </c>
      <c r="F151" t="s">
        <v>533</v>
      </c>
      <c r="G151" s="3" t="s">
        <v>67</v>
      </c>
      <c r="H151" t="s">
        <v>56</v>
      </c>
      <c r="I151" s="2">
        <v>4</v>
      </c>
    </row>
    <row r="152" spans="1:10" x14ac:dyDescent="0.2">
      <c r="A152" t="s">
        <v>131</v>
      </c>
      <c r="B152" t="s">
        <v>175</v>
      </c>
      <c r="C152" t="s">
        <v>395</v>
      </c>
      <c r="D152" t="s">
        <v>406</v>
      </c>
      <c r="E152" t="str">
        <f t="shared" si="4"/>
        <v>Contract management calculations - Tricare IPPS</v>
      </c>
      <c r="F152" t="s">
        <v>533</v>
      </c>
      <c r="G152" s="3" t="s">
        <v>67</v>
      </c>
      <c r="H152" t="s">
        <v>56</v>
      </c>
      <c r="I152" s="2">
        <v>8</v>
      </c>
    </row>
    <row r="153" spans="1:10" x14ac:dyDescent="0.2">
      <c r="A153" t="s">
        <v>131</v>
      </c>
      <c r="B153" t="s">
        <v>175</v>
      </c>
      <c r="C153" t="s">
        <v>395</v>
      </c>
      <c r="D153" t="s">
        <v>408</v>
      </c>
      <c r="E153" t="str">
        <f t="shared" si="4"/>
        <v>Contract management calculations - Tricare OPPS</v>
      </c>
      <c r="F153" t="s">
        <v>533</v>
      </c>
      <c r="G153" s="3" t="s">
        <v>67</v>
      </c>
      <c r="H153" t="s">
        <v>56</v>
      </c>
      <c r="I153" s="2">
        <v>5</v>
      </c>
    </row>
    <row r="154" spans="1:10" x14ac:dyDescent="0.2">
      <c r="A154" t="s">
        <v>131</v>
      </c>
      <c r="B154" t="s">
        <v>175</v>
      </c>
      <c r="C154" t="s">
        <v>149</v>
      </c>
      <c r="D154" t="s">
        <v>393</v>
      </c>
      <c r="E154" t="str">
        <f t="shared" si="4"/>
        <v>Max allowable adjustment</v>
      </c>
      <c r="F154" t="s">
        <v>533</v>
      </c>
      <c r="G154" s="3" t="s">
        <v>139</v>
      </c>
      <c r="H154" t="s">
        <v>28</v>
      </c>
      <c r="I154" s="2" t="s">
        <v>29</v>
      </c>
      <c r="J154" t="s">
        <v>30</v>
      </c>
    </row>
    <row r="155" spans="1:10" x14ac:dyDescent="0.2">
      <c r="A155" t="s">
        <v>131</v>
      </c>
      <c r="B155" t="s">
        <v>175</v>
      </c>
      <c r="C155" t="s">
        <v>395</v>
      </c>
      <c r="D155" t="s">
        <v>396</v>
      </c>
      <c r="E155" t="str">
        <f t="shared" si="4"/>
        <v>Underpayments/CM rules engine optimization</v>
      </c>
      <c r="F155" t="s">
        <v>533</v>
      </c>
      <c r="G155" s="3" t="s">
        <v>67</v>
      </c>
      <c r="H155" t="s">
        <v>28</v>
      </c>
      <c r="I155" s="2" t="s">
        <v>29</v>
      </c>
      <c r="J155" t="s">
        <v>602</v>
      </c>
    </row>
  </sheetData>
  <autoFilter ref="A1:G155" xr:uid="{8AB54959-FC6F-44F9-9F05-30D743F71323}">
    <sortState xmlns:xlrd2="http://schemas.microsoft.com/office/spreadsheetml/2017/richdata2" ref="A2:G136">
      <sortCondition ref="C1:C136"/>
    </sortState>
  </autoFilter>
  <sortState xmlns:xlrd2="http://schemas.microsoft.com/office/spreadsheetml/2017/richdata2" ref="A2:J136">
    <sortCondition ref="A8:A136"/>
    <sortCondition ref="B8:B136"/>
    <sortCondition ref="E8:E136"/>
    <sortCondition ref="H8:H136"/>
    <sortCondition ref="I8:I136"/>
  </sortState>
  <dataValidations count="2">
    <dataValidation type="list" allowBlank="1" showInputMessage="1" showErrorMessage="1" sqref="A2:A155" xr:uid="{06B032EA-B3B3-F544-9C2C-F82C44DD0B9C}">
      <formula1>#REF!</formula1>
    </dataValidation>
    <dataValidation type="list" allowBlank="1" showInputMessage="1" showErrorMessage="1" sqref="G2:G155 B2:C155" xr:uid="{9ACD39E3-E145-D641-A134-905F13CA95BE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EB2554-18C6-4350-A47E-D49FDDBDDF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Clean_One_List</vt:lpstr>
      <vt:lpstr>Presentation 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Gaffney</dc:creator>
  <cp:keywords/>
  <dc:description/>
  <cp:lastModifiedBy>JAMES GAFFNEY</cp:lastModifiedBy>
  <cp:revision/>
  <dcterms:created xsi:type="dcterms:W3CDTF">2025-09-09T00:40:54Z</dcterms:created>
  <dcterms:modified xsi:type="dcterms:W3CDTF">2025-12-16T19:54:06Z</dcterms:modified>
  <cp:category/>
  <cp:contentStatus/>
</cp:coreProperties>
</file>